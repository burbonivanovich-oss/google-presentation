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Маркет (выручка)" sheetId="2" state="visible" r:id="rId2"/>
    <sheet xmlns:r="http://schemas.openxmlformats.org/officeDocument/2006/relationships" name="Маркет (оплаты)" sheetId="3" state="visible" r:id="rId3"/>
    <sheet xmlns:r="http://schemas.openxmlformats.org/officeDocument/2006/relationships" name="ОФД (выручка)" sheetId="4" state="visible" r:id="rId4"/>
    <sheet xmlns:r="http://schemas.openxmlformats.org/officeDocument/2006/relationships" name="ОФД (оплаты)" sheetId="5" state="visible" r:id="rId5"/>
    <sheet xmlns:r="http://schemas.openxmlformats.org/officeDocument/2006/relationships" name="Сравнение методов" sheetId="6" state="visible" r:id="rId6"/>
    <sheet xmlns:r="http://schemas.openxmlformats.org/officeDocument/2006/relationships" name="Реклама — эффективность" sheetId="7" state="visible" r:id="rId7"/>
    <sheet xmlns:r="http://schemas.openxmlformats.org/officeDocument/2006/relationships" name="Методология" sheetId="8" state="visible" r:id="rId8"/>
    <sheet xmlns:r="http://schemas.openxmlformats.org/officeDocument/2006/relationships" name="Данные (вход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D2430"/>
      <sz val="16"/>
    </font>
    <font>
      <i val="1"/>
      <color rgb="005E6670"/>
      <sz val="10"/>
    </font>
    <font>
      <b val="1"/>
      <color rgb="00F28C0D"/>
      <sz val="12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28C0D"/>
      </patternFill>
    </fill>
    <fill>
      <patternFill patternType="solid">
        <fgColor rgb="00FFF4E2"/>
      </patternFill>
    </fill>
  </fills>
  <borders count="2">
    <border>
      <left/>
      <right/>
      <top/>
      <bottom/>
      <diagonal/>
    </border>
    <border>
      <left style="thin">
        <color rgb="00E7E9EE"/>
      </left>
      <right style="thin">
        <color rgb="00E7E9EE"/>
      </right>
      <top style="thin">
        <color rgb="00E7E9EE"/>
      </top>
      <bottom style="thin">
        <color rgb="00E7E9E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0" fillId="0" borderId="1" pivotButton="0" quotePrefix="0" xfId="0"/>
    <xf numFmtId="165" fontId="5" fillId="0" borderId="1" pivotButton="0" quotePrefix="0" xfId="0"/>
    <xf numFmtId="3" fontId="0" fillId="0" borderId="1" pivotButton="0" quotePrefix="0" xfId="0"/>
    <xf numFmtId="3" fontId="5" fillId="0" borderId="1" pivotButton="0" quotePrefix="0" xfId="0"/>
    <xf numFmtId="0" fontId="5" fillId="3" borderId="0" pivotButton="0" quotePrefix="0" xfId="0"/>
    <xf numFmtId="164" fontId="5" fillId="3" borderId="0" pivotButton="0" quotePrefix="0" xfId="0"/>
    <xf numFmtId="3" fontId="5" fillId="3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Маркет: план / факт / прогноз</a:t>
            </a:r>
          </a:p>
        </rich>
      </tx>
    </title>
    <plotArea>
      <lineChart>
        <grouping val="standard"/>
        <ser>
          <idx val="0"/>
          <order val="0"/>
          <tx>
            <strRef>
              <f>'Маркет (выручка)'!B4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(выручка)'!$B$5:$B$16</f>
            </numRef>
          </val>
        </ser>
        <ser>
          <idx val="1"/>
          <order val="1"/>
          <tx>
            <strRef>
              <f>'Маркет (выручка)'!C4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(выручка)'!$C$5:$C$16</f>
            </numRef>
          </val>
        </ser>
        <ser>
          <idx val="2"/>
          <order val="2"/>
          <tx>
            <strRef>
              <f>'Маркет (выручка)'!D4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(выручка)'!$D$5:$D$16</f>
            </numRef>
          </val>
        </ser>
        <ser>
          <idx val="3"/>
          <order val="3"/>
          <tx>
            <strRef>
              <f>'Маркет (выручка)'!E4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(выручка)'!$E$5:$E$16</f>
            </numRef>
          </val>
        </ser>
        <ser>
          <idx val="4"/>
          <order val="4"/>
          <tx>
            <strRef>
              <f>'Маркет (выручка)'!F4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(выручка)'!$F$5:$F$16</f>
            </numRef>
          </val>
        </ser>
        <ser>
          <idx val="5"/>
          <order val="5"/>
          <tx>
            <strRef>
              <f>'Маркет (выручка)'!G4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Маркет: план / факт / прогноз</a:t>
            </a:r>
          </a:p>
        </rich>
      </tx>
    </title>
    <plotArea>
      <lineChart>
        <grouping val="standard"/>
        <ser>
          <idx val="0"/>
          <order val="0"/>
          <tx>
            <strRef>
              <f>'Маркет (оплаты)'!B4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(оплаты)'!$B$5:$B$16</f>
            </numRef>
          </val>
        </ser>
        <ser>
          <idx val="1"/>
          <order val="1"/>
          <tx>
            <strRef>
              <f>'Маркет (оплаты)'!C4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(оплаты)'!$C$5:$C$16</f>
            </numRef>
          </val>
        </ser>
        <ser>
          <idx val="2"/>
          <order val="2"/>
          <tx>
            <strRef>
              <f>'Маркет (оплаты)'!D4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(оплаты)'!$D$5:$D$16</f>
            </numRef>
          </val>
        </ser>
        <ser>
          <idx val="3"/>
          <order val="3"/>
          <tx>
            <strRef>
              <f>'Маркет (оплаты)'!E4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(оплаты)'!$E$5:$E$16</f>
            </numRef>
          </val>
        </ser>
        <ser>
          <idx val="4"/>
          <order val="4"/>
          <tx>
            <strRef>
              <f>'Маркет (оплаты)'!F4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(оплаты)'!$F$5:$F$16</f>
            </numRef>
          </val>
        </ser>
        <ser>
          <idx val="5"/>
          <order val="5"/>
          <tx>
            <strRef>
              <f>'Маркет (оплаты)'!G4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ОФД: план / факт / прогноз</a:t>
            </a:r>
          </a:p>
        </rich>
      </tx>
    </title>
    <plotArea>
      <lineChart>
        <grouping val="standard"/>
        <ser>
          <idx val="0"/>
          <order val="0"/>
          <tx>
            <strRef>
              <f>'ОФД (выручка)'!B4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(выручка)'!$B$5:$B$16</f>
            </numRef>
          </val>
        </ser>
        <ser>
          <idx val="1"/>
          <order val="1"/>
          <tx>
            <strRef>
              <f>'ОФД (выручка)'!C4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(выручка)'!$C$5:$C$16</f>
            </numRef>
          </val>
        </ser>
        <ser>
          <idx val="2"/>
          <order val="2"/>
          <tx>
            <strRef>
              <f>'ОФД (выручка)'!D4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(выручка)'!$D$5:$D$16</f>
            </numRef>
          </val>
        </ser>
        <ser>
          <idx val="3"/>
          <order val="3"/>
          <tx>
            <strRef>
              <f>'ОФД (выручка)'!E4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(выручка)'!$E$5:$E$16</f>
            </numRef>
          </val>
        </ser>
        <ser>
          <idx val="4"/>
          <order val="4"/>
          <tx>
            <strRef>
              <f>'ОФД (выручка)'!F4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(выручка)'!$F$5:$F$16</f>
            </numRef>
          </val>
        </ser>
        <ser>
          <idx val="5"/>
          <order val="5"/>
          <tx>
            <strRef>
              <f>'ОФД (выручка)'!G4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ОФД: план / факт / прогноз</a:t>
            </a:r>
          </a:p>
        </rich>
      </tx>
    </title>
    <plotArea>
      <lineChart>
        <grouping val="standard"/>
        <ser>
          <idx val="0"/>
          <order val="0"/>
          <tx>
            <strRef>
              <f>'ОФД (оплаты)'!B4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(оплаты)'!$B$5:$B$16</f>
            </numRef>
          </val>
        </ser>
        <ser>
          <idx val="1"/>
          <order val="1"/>
          <tx>
            <strRef>
              <f>'ОФД (оплаты)'!C4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(оплаты)'!$C$5:$C$16</f>
            </numRef>
          </val>
        </ser>
        <ser>
          <idx val="2"/>
          <order val="2"/>
          <tx>
            <strRef>
              <f>'ОФД (оплаты)'!D4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(оплаты)'!$D$5:$D$16</f>
            </numRef>
          </val>
        </ser>
        <ser>
          <idx val="3"/>
          <order val="3"/>
          <tx>
            <strRef>
              <f>'ОФД (оплаты)'!E4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(оплаты)'!$E$5:$E$16</f>
            </numRef>
          </val>
        </ser>
        <ser>
          <idx val="4"/>
          <order val="4"/>
          <tx>
            <strRef>
              <f>'ОФД (оплаты)'!F4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(оплаты)'!$F$5:$F$16</f>
            </numRef>
          </val>
        </ser>
        <ser>
          <idx val="5"/>
          <order val="5"/>
          <tx>
            <strRef>
              <f>'ОФД (оплаты)'!G4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Прогноз выполнения плана 2026 — Маркет и ОФД</t>
        </is>
      </c>
    </row>
    <row r="2">
      <c r="A2" s="2" t="inlineStr">
        <is>
          <t>Факт по Май включительно · модели: plan-pacing, сезонный YoY, ETS (statsmodels), регрессия (sklearn) · ансамбль и сценарии низ/база/верх</t>
        </is>
      </c>
    </row>
    <row r="4">
      <c r="A4" s="3" t="inlineStr">
        <is>
          <t>ВЫРУЧКА, ₽</t>
        </is>
      </c>
    </row>
    <row r="5">
      <c r="A5" s="4" t="inlineStr">
        <is>
          <t>Продукт / показатель</t>
        </is>
      </c>
      <c r="B5" s="4" t="inlineStr">
        <is>
          <t>Маркет</t>
        </is>
      </c>
      <c r="C5" s="4" t="inlineStr">
        <is>
          <t>ОФД</t>
        </is>
      </c>
    </row>
    <row r="6">
      <c r="A6" s="5" t="inlineStr">
        <is>
          <t>Годовой план</t>
        </is>
      </c>
      <c r="B6" s="6" t="n">
        <v>70592953.99377041</v>
      </c>
      <c r="C6" s="6" t="n">
        <v>37544672.43728799</v>
      </c>
    </row>
    <row r="7">
      <c r="A7" s="5" t="inlineStr">
        <is>
          <t>План YTD (янв–май)</t>
        </is>
      </c>
      <c r="B7" s="6" t="n">
        <v>30266040.05853673</v>
      </c>
      <c r="C7" s="6" t="n">
        <v>15306086.82974042</v>
      </c>
    </row>
    <row r="8">
      <c r="A8" s="7" t="inlineStr">
        <is>
          <t>Факт YTD (янв–май)</t>
        </is>
      </c>
      <c r="B8" s="8" t="n">
        <v>23919618.05</v>
      </c>
      <c r="C8" s="8" t="n">
        <v>18897934.4</v>
      </c>
    </row>
    <row r="9">
      <c r="A9" s="5" t="inlineStr">
        <is>
          <t>Выполнение YTD, %</t>
        </is>
      </c>
      <c r="B9" s="9" t="n">
        <v>0.7903121123126023</v>
      </c>
      <c r="C9" s="9" t="n">
        <v>1.234667920691555</v>
      </c>
    </row>
    <row r="10">
      <c r="A10" s="5" t="inlineStr">
        <is>
          <t>YoY к 2025, %</t>
        </is>
      </c>
      <c r="B10" s="9" t="n">
        <v>-0.4232124223267739</v>
      </c>
      <c r="C10" s="9" t="n">
        <v>-0.1571918488066785</v>
      </c>
    </row>
    <row r="11">
      <c r="A11" s="5" t="inlineStr">
        <is>
          <t>Прогноз года — НИЗ</t>
        </is>
      </c>
      <c r="B11" s="6" t="n">
        <v>46046500.30052106</v>
      </c>
      <c r="C11" s="6" t="n">
        <v>38625598.4183249</v>
      </c>
    </row>
    <row r="12">
      <c r="A12" s="7" t="inlineStr">
        <is>
          <t>Прогноз года — БАЗА</t>
        </is>
      </c>
      <c r="B12" s="8" t="n">
        <v>52188034.42302756</v>
      </c>
      <c r="C12" s="8" t="n">
        <v>43317847.53680471</v>
      </c>
    </row>
    <row r="13">
      <c r="A13" s="5" t="inlineStr">
        <is>
          <t>Прогноз года — ВЕРХ</t>
        </is>
      </c>
      <c r="B13" s="6" t="n">
        <v>55808687.64919892</v>
      </c>
      <c r="C13" s="6" t="n">
        <v>46488369.60313693</v>
      </c>
    </row>
    <row r="14">
      <c r="A14" s="5" t="inlineStr">
        <is>
          <t>Выполнение плана — НИЗ, %</t>
        </is>
      </c>
      <c r="B14" s="9" t="n">
        <v>0.652281817029282</v>
      </c>
      <c r="C14" s="9" t="n">
        <v>1.028790395836917</v>
      </c>
    </row>
    <row r="15">
      <c r="A15" s="7" t="inlineStr">
        <is>
          <t>Выполнение плана — БАЗА, %</t>
        </is>
      </c>
      <c r="B15" s="10" t="n">
        <v>0.7392810680175387</v>
      </c>
      <c r="C15" s="10" t="n">
        <v>1.153768157364</v>
      </c>
    </row>
    <row r="16">
      <c r="A16" s="5" t="inlineStr">
        <is>
          <t>Выполнение плана — ВЕРХ, %</t>
        </is>
      </c>
      <c r="B16" s="9" t="n">
        <v>0.7905702267980435</v>
      </c>
      <c r="C16" s="9" t="n">
        <v>1.238214814120109</v>
      </c>
    </row>
    <row r="17">
      <c r="A17" s="7" t="inlineStr">
        <is>
          <t>Вывод (база)</t>
        </is>
      </c>
      <c r="B17" s="5" t="inlineStr">
        <is>
          <t>существенный недобор</t>
        </is>
      </c>
      <c r="C17" s="5" t="inlineStr">
        <is>
          <t>план будет выполнен</t>
        </is>
      </c>
    </row>
    <row r="18"/>
    <row r="19">
      <c r="A19" s="3" t="inlineStr">
        <is>
          <t>ОПЛАТЫ, шт</t>
        </is>
      </c>
    </row>
    <row r="20">
      <c r="A20" s="4" t="inlineStr">
        <is>
          <t>Продукт / показатель</t>
        </is>
      </c>
      <c r="B20" s="4" t="inlineStr">
        <is>
          <t>Маркет</t>
        </is>
      </c>
      <c r="C20" s="4" t="inlineStr">
        <is>
          <t>ОФД</t>
        </is>
      </c>
    </row>
    <row r="21">
      <c r="A21" s="5" t="inlineStr">
        <is>
          <t>Годовой план</t>
        </is>
      </c>
      <c r="B21" s="11" t="n">
        <v>3763.720949736331</v>
      </c>
      <c r="C21" s="11" t="n">
        <v>7375.265327374596</v>
      </c>
    </row>
    <row r="22">
      <c r="A22" s="5" t="inlineStr">
        <is>
          <t>План YTD (янв–май)</t>
        </is>
      </c>
      <c r="B22" s="11" t="n">
        <v>1673.567250287371</v>
      </c>
      <c r="C22" s="11" t="n">
        <v>3008.397945204254</v>
      </c>
    </row>
    <row r="23">
      <c r="A23" s="7" t="inlineStr">
        <is>
          <t>Факт YTD (янв–май)</t>
        </is>
      </c>
      <c r="B23" s="12" t="n">
        <v>1397</v>
      </c>
      <c r="C23" s="12" t="n">
        <v>3187</v>
      </c>
    </row>
    <row r="24">
      <c r="A24" s="5" t="inlineStr">
        <is>
          <t>Выполнение YTD, %</t>
        </is>
      </c>
      <c r="B24" s="9" t="n">
        <v>0.8347438680818585</v>
      </c>
      <c r="C24" s="9" t="n">
        <v>1.05936782900695</v>
      </c>
    </row>
    <row r="25">
      <c r="A25" s="5" t="inlineStr">
        <is>
          <t>YoY к 2025, %</t>
        </is>
      </c>
      <c r="B25" s="9" t="n">
        <v>-0.4921846601235915</v>
      </c>
      <c r="C25" s="9" t="n">
        <v>-0.2738664843928002</v>
      </c>
    </row>
    <row r="26">
      <c r="A26" s="5" t="inlineStr">
        <is>
          <t>Прогноз года — НИЗ</t>
        </is>
      </c>
      <c r="B26" s="11" t="n">
        <v>2413.898671262295</v>
      </c>
      <c r="C26" s="11" t="n">
        <v>5959.11800642271</v>
      </c>
    </row>
    <row r="27">
      <c r="A27" s="7" t="inlineStr">
        <is>
          <t>Прогноз года — БАЗА</t>
        </is>
      </c>
      <c r="B27" s="12" t="n">
        <v>2889.28020700411</v>
      </c>
      <c r="C27" s="12" t="n">
        <v>7082.243156846213</v>
      </c>
    </row>
    <row r="28">
      <c r="A28" s="5" t="inlineStr">
        <is>
          <t>Прогноз года — ВЕРХ</t>
        </is>
      </c>
      <c r="B28" s="11" t="n">
        <v>3154.164532757862</v>
      </c>
      <c r="C28" s="11" t="n">
        <v>7813.118818211061</v>
      </c>
    </row>
    <row r="29">
      <c r="A29" s="5" t="inlineStr">
        <is>
          <t>Выполнение плана — НИЗ, %</t>
        </is>
      </c>
      <c r="B29" s="9" t="n">
        <v>0.6413596288086666</v>
      </c>
      <c r="C29" s="9" t="n">
        <v>0.8079869322537312</v>
      </c>
    </row>
    <row r="30">
      <c r="A30" s="7" t="inlineStr">
        <is>
          <t>Выполнение плана — БАЗА, %</t>
        </is>
      </c>
      <c r="B30" s="10" t="n">
        <v>0.7676658938294881</v>
      </c>
      <c r="C30" s="10" t="n">
        <v>0.9602696096314284</v>
      </c>
    </row>
    <row r="31">
      <c r="A31" s="5" t="inlineStr">
        <is>
          <t>Выполнение плана — ВЕРХ, %</t>
        </is>
      </c>
      <c r="B31" s="9" t="n">
        <v>0.838044205423579</v>
      </c>
      <c r="C31" s="9" t="n">
        <v>1.05936782900695</v>
      </c>
    </row>
    <row r="32">
      <c r="A32" s="7" t="inlineStr">
        <is>
          <t>Вывод (база)</t>
        </is>
      </c>
      <c r="B32" s="5" t="inlineStr">
        <is>
          <t>существенный недобор</t>
        </is>
      </c>
      <c r="C32" s="5" t="inlineStr">
        <is>
          <t>на грани плана</t>
        </is>
      </c>
    </row>
    <row r="3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Маркет — выручка 2026, помесячно</t>
        </is>
      </c>
    </row>
    <row r="2">
      <c r="A2" s="2" t="inlineStr">
        <is>
          <t>Проекты Проект общий=Маркет · Афина · Подключение · Онлайн · факт по Май, далее прогноз (база) и коридор низ/верх</t>
        </is>
      </c>
    </row>
    <row r="4">
      <c r="A4" s="4" t="inlineStr">
        <is>
          <t>Месяц</t>
        </is>
      </c>
      <c r="B4" s="4" t="inlineStr">
        <is>
          <t>План 2026</t>
        </is>
      </c>
      <c r="C4" s="4" t="inlineStr">
        <is>
          <t>Факт 2025</t>
        </is>
      </c>
      <c r="D4" s="4" t="inlineStr">
        <is>
          <t>Факт 2026</t>
        </is>
      </c>
      <c r="E4" s="4" t="inlineStr">
        <is>
          <t>Прогноз база</t>
        </is>
      </c>
      <c r="F4" s="4" t="inlineStr">
        <is>
          <t>Прогноз низ</t>
        </is>
      </c>
      <c r="G4" s="4" t="inlineStr">
        <is>
          <t>Прогноз верх</t>
        </is>
      </c>
    </row>
    <row r="5">
      <c r="A5" s="5" t="inlineStr">
        <is>
          <t>Январь</t>
        </is>
      </c>
      <c r="B5" s="6" t="n">
        <v>6263511.348942125</v>
      </c>
      <c r="C5" s="6" t="n">
        <v>8321032.01</v>
      </c>
      <c r="D5" s="6" t="n">
        <v>4200496.390000001</v>
      </c>
      <c r="E5" s="6" t="n"/>
      <c r="F5" s="6" t="n"/>
      <c r="G5" s="6" t="n"/>
    </row>
    <row r="6">
      <c r="A6" s="5" t="inlineStr">
        <is>
          <t>Февраль</t>
        </is>
      </c>
      <c r="B6" s="6" t="n">
        <v>6056422.316035671</v>
      </c>
      <c r="C6" s="6" t="n">
        <v>7282044.609999999</v>
      </c>
      <c r="D6" s="6" t="n">
        <v>4351111.290000001</v>
      </c>
      <c r="E6" s="6" t="n"/>
      <c r="F6" s="6" t="n"/>
      <c r="G6" s="6" t="n"/>
    </row>
    <row r="7">
      <c r="A7" s="5" t="inlineStr">
        <is>
          <t>Март</t>
        </is>
      </c>
      <c r="B7" s="6" t="n">
        <v>7033099.083469328</v>
      </c>
      <c r="C7" s="6" t="n">
        <v>8580171.789999999</v>
      </c>
      <c r="D7" s="6" t="n">
        <v>5962804.63</v>
      </c>
      <c r="E7" s="6" t="n"/>
      <c r="F7" s="6" t="n"/>
      <c r="G7" s="6" t="n"/>
    </row>
    <row r="8">
      <c r="A8" s="5" t="inlineStr">
        <is>
          <t>Апрель</t>
        </is>
      </c>
      <c r="B8" s="6" t="n">
        <v>6061387.442087491</v>
      </c>
      <c r="C8" s="6" t="n">
        <v>10007206.16</v>
      </c>
      <c r="D8" s="6" t="n">
        <v>4702395.83</v>
      </c>
      <c r="E8" s="6" t="n"/>
      <c r="F8" s="6" t="n"/>
      <c r="G8" s="6" t="n"/>
    </row>
    <row r="9">
      <c r="A9" s="5" t="inlineStr">
        <is>
          <t>Май</t>
        </is>
      </c>
      <c r="B9" s="6" t="n">
        <v>4851619.868002112</v>
      </c>
      <c r="C9" s="6" t="n">
        <v>7279956.68</v>
      </c>
      <c r="D9" s="6" t="n">
        <v>4702809.91</v>
      </c>
      <c r="E9" s="6" t="n"/>
      <c r="F9" s="6" t="n"/>
      <c r="G9" s="6" t="n"/>
    </row>
    <row r="10">
      <c r="A10" s="5" t="inlineStr">
        <is>
          <t>Июнь</t>
        </is>
      </c>
      <c r="B10" s="6" t="n">
        <v>5986082.105809628</v>
      </c>
      <c r="C10" s="6" t="n">
        <v>8233697.189999999</v>
      </c>
      <c r="D10" s="6" t="n"/>
      <c r="E10" s="6" t="n">
        <v>4682886.849717567</v>
      </c>
      <c r="F10" s="6" t="n">
        <v>4390375.319541274</v>
      </c>
      <c r="G10" s="6" t="n">
        <v>4749094.257514948</v>
      </c>
    </row>
    <row r="11">
      <c r="A11" s="5" t="inlineStr">
        <is>
          <t>Июль</t>
        </is>
      </c>
      <c r="B11" s="6" t="n">
        <v>5872570.357098185</v>
      </c>
      <c r="C11" s="6" t="n">
        <v>7161253.78</v>
      </c>
      <c r="D11" s="6" t="n"/>
      <c r="E11" s="6" t="n">
        <v>4241057.002101946</v>
      </c>
      <c r="F11" s="6" t="n">
        <v>3651095.14000004</v>
      </c>
      <c r="G11" s="6" t="n">
        <v>4641163.483622639</v>
      </c>
    </row>
    <row r="12">
      <c r="A12" s="5" t="inlineStr">
        <is>
          <t>Август</t>
        </is>
      </c>
      <c r="B12" s="6" t="n">
        <v>5226458.227449151</v>
      </c>
      <c r="C12" s="6" t="n">
        <v>5821013.07</v>
      </c>
      <c r="D12" s="6" t="n"/>
      <c r="E12" s="6" t="n">
        <v>3538868.014024282</v>
      </c>
      <c r="F12" s="6" t="n">
        <v>2310854.430000043</v>
      </c>
      <c r="G12" s="6" t="n">
        <v>4130533.241648918</v>
      </c>
    </row>
    <row r="13">
      <c r="A13" s="5" t="inlineStr">
        <is>
          <t>Сентябрь</t>
        </is>
      </c>
      <c r="B13" s="6" t="n">
        <v>5096999.718052451</v>
      </c>
      <c r="C13" s="6" t="n">
        <v>6738697.36</v>
      </c>
      <c r="D13" s="6" t="n"/>
      <c r="E13" s="6" t="n">
        <v>3777359.995363969</v>
      </c>
      <c r="F13" s="6" t="n">
        <v>3228538.720000045</v>
      </c>
      <c r="G13" s="6" t="n">
        <v>4028220.613630771</v>
      </c>
    </row>
    <row r="14">
      <c r="A14" s="5" t="inlineStr">
        <is>
          <t>Октябрь</t>
        </is>
      </c>
      <c r="B14" s="6" t="n">
        <v>5770038.007771566</v>
      </c>
      <c r="C14" s="6" t="n">
        <v>6788530.22</v>
      </c>
      <c r="D14" s="6" t="n"/>
      <c r="E14" s="6" t="n">
        <v>3971011.621105135</v>
      </c>
      <c r="F14" s="6" t="n">
        <v>3278371.580000049</v>
      </c>
      <c r="G14" s="6" t="n">
        <v>4560130.926045946</v>
      </c>
    </row>
    <row r="15">
      <c r="A15" s="5" t="inlineStr">
        <is>
          <t>Ноябрь</t>
        </is>
      </c>
      <c r="B15" s="6" t="n">
        <v>5630589.890397409</v>
      </c>
      <c r="C15" s="6" t="n">
        <v>5841716.4</v>
      </c>
      <c r="D15" s="6" t="n"/>
      <c r="E15" s="6" t="n">
        <v>3564954.739386308</v>
      </c>
      <c r="F15" s="6" t="n">
        <v>2331557.760000055</v>
      </c>
      <c r="G15" s="6" t="n">
        <v>4449923.389845961</v>
      </c>
    </row>
    <row r="16">
      <c r="A16" s="5" t="inlineStr">
        <is>
          <t>Декабрь</t>
        </is>
      </c>
      <c r="B16" s="6" t="n">
        <v>6744175.628655292</v>
      </c>
      <c r="C16" s="6" t="n">
        <v>7617427.85</v>
      </c>
      <c r="D16" s="6" t="n"/>
      <c r="E16" s="6" t="n">
        <v>4492278.151328357</v>
      </c>
      <c r="F16" s="6" t="n">
        <v>2936089.30097956</v>
      </c>
      <c r="G16" s="6" t="n">
        <v>5330003.686889737</v>
      </c>
    </row>
    <row r="17">
      <c r="A17" s="13" t="inlineStr">
        <is>
          <t>ИТОГО год</t>
        </is>
      </c>
      <c r="B17" s="14" t="n">
        <v>70592953.99377041</v>
      </c>
      <c r="C17" s="13" t="n"/>
      <c r="D17" s="14" t="n">
        <v>23919618.05</v>
      </c>
      <c r="E17" s="14" t="n">
        <v>52188034.42302756</v>
      </c>
      <c r="F17" s="14" t="n">
        <v>46046500.30052106</v>
      </c>
      <c r="G17" s="14" t="n">
        <v>55808687.64919892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Маркет — оплаты 2026, помесячно</t>
        </is>
      </c>
    </row>
    <row r="2">
      <c r="A2" s="2" t="inlineStr">
        <is>
          <t>Проекты Проект общий=Маркет · Афина · Подключение · Онлайн · факт по Май, далее прогноз (база) и коридор низ/верх</t>
        </is>
      </c>
    </row>
    <row r="4">
      <c r="A4" s="4" t="inlineStr">
        <is>
          <t>Месяц</t>
        </is>
      </c>
      <c r="B4" s="4" t="inlineStr">
        <is>
          <t>План 2026</t>
        </is>
      </c>
      <c r="C4" s="4" t="inlineStr">
        <is>
          <t>Факт 2025</t>
        </is>
      </c>
      <c r="D4" s="4" t="inlineStr">
        <is>
          <t>Факт 2026</t>
        </is>
      </c>
      <c r="E4" s="4" t="inlineStr">
        <is>
          <t>Прогноз база</t>
        </is>
      </c>
      <c r="F4" s="4" t="inlineStr">
        <is>
          <t>Прогноз низ</t>
        </is>
      </c>
      <c r="G4" s="4" t="inlineStr">
        <is>
          <t>Прогноз верх</t>
        </is>
      </c>
    </row>
    <row r="5">
      <c r="A5" s="5" t="inlineStr">
        <is>
          <t>Январь</t>
        </is>
      </c>
      <c r="B5" s="11" t="n">
        <v>391.0186810286141</v>
      </c>
      <c r="C5" s="11" t="n">
        <v>579</v>
      </c>
      <c r="D5" s="11" t="n">
        <v>246</v>
      </c>
      <c r="E5" s="11" t="n"/>
      <c r="F5" s="11" t="n"/>
      <c r="G5" s="11" t="n"/>
    </row>
    <row r="6">
      <c r="A6" s="5" t="inlineStr">
        <is>
          <t>Февраль</t>
        </is>
      </c>
      <c r="B6" s="11" t="n">
        <v>337.0446834506792</v>
      </c>
      <c r="C6" s="11" t="n">
        <v>484</v>
      </c>
      <c r="D6" s="11" t="n">
        <v>260</v>
      </c>
      <c r="E6" s="11" t="n"/>
      <c r="F6" s="11" t="n"/>
      <c r="G6" s="11" t="n"/>
    </row>
    <row r="7">
      <c r="A7" s="5" t="inlineStr">
        <is>
          <t>Март</t>
        </is>
      </c>
      <c r="B7" s="11" t="n">
        <v>380.2864858600663</v>
      </c>
      <c r="C7" s="11" t="n">
        <v>565</v>
      </c>
      <c r="D7" s="11" t="n">
        <v>376</v>
      </c>
      <c r="E7" s="11" t="n"/>
      <c r="F7" s="11" t="n"/>
      <c r="G7" s="11" t="n"/>
    </row>
    <row r="8">
      <c r="A8" s="5" t="inlineStr">
        <is>
          <t>Апрель</t>
        </is>
      </c>
      <c r="B8" s="11" t="n">
        <v>329.6340999740057</v>
      </c>
      <c r="C8" s="11" t="n">
        <v>663</v>
      </c>
      <c r="D8" s="11" t="n">
        <v>279</v>
      </c>
      <c r="E8" s="11" t="n"/>
      <c r="F8" s="11" t="n"/>
      <c r="G8" s="11" t="n"/>
    </row>
    <row r="9">
      <c r="A9" s="5" t="inlineStr">
        <is>
          <t>Май</t>
        </is>
      </c>
      <c r="B9" s="11" t="n">
        <v>235.5832999740057</v>
      </c>
      <c r="C9" s="11" t="n">
        <v>460</v>
      </c>
      <c r="D9" s="11" t="n">
        <v>236</v>
      </c>
      <c r="E9" s="11" t="n"/>
      <c r="F9" s="11" t="n"/>
      <c r="G9" s="11" t="n"/>
    </row>
    <row r="10">
      <c r="A10" s="5" t="inlineStr">
        <is>
          <t>Июнь</t>
        </is>
      </c>
      <c r="B10" s="11" t="n">
        <v>300.8522999740057</v>
      </c>
      <c r="C10" s="11" t="n">
        <v>519</v>
      </c>
      <c r="D10" s="11" t="n"/>
      <c r="E10" s="11" t="n">
        <v>251.7259962384995</v>
      </c>
      <c r="F10" s="11" t="n">
        <v>238.2874056592341</v>
      </c>
      <c r="G10" s="11" t="n">
        <v>263.5561613958561</v>
      </c>
    </row>
    <row r="11">
      <c r="A11" s="5" t="inlineStr">
        <is>
          <t>Июль</t>
        </is>
      </c>
      <c r="B11" s="11" t="n">
        <v>321.5809999740057</v>
      </c>
      <c r="C11" s="11" t="n">
        <v>454</v>
      </c>
      <c r="D11" s="11" t="n"/>
      <c r="E11" s="11" t="n">
        <v>234.4429835212009</v>
      </c>
      <c r="F11" s="11" t="n">
        <v>183.2000000000015</v>
      </c>
      <c r="G11" s="11" t="n">
        <v>268.4377678199336</v>
      </c>
    </row>
    <row r="12">
      <c r="A12" s="5" t="inlineStr">
        <is>
          <t>Август</t>
        </is>
      </c>
      <c r="B12" s="11" t="n">
        <v>261.8799997894656</v>
      </c>
      <c r="C12" s="11" t="n">
        <v>361</v>
      </c>
      <c r="D12" s="11" t="n"/>
      <c r="E12" s="11" t="n">
        <v>181.1647451861427</v>
      </c>
      <c r="F12" s="11" t="n">
        <v>90.20000000000175</v>
      </c>
      <c r="G12" s="11" t="n">
        <v>218.6027239975348</v>
      </c>
    </row>
    <row r="13">
      <c r="A13" s="5" t="inlineStr">
        <is>
          <t>Сентябрь</t>
        </is>
      </c>
      <c r="B13" s="11" t="n">
        <v>272.6975998761206</v>
      </c>
      <c r="C13" s="11" t="n">
        <v>405</v>
      </c>
      <c r="D13" s="11" t="n"/>
      <c r="E13" s="11" t="n">
        <v>196.2398574774597</v>
      </c>
      <c r="F13" s="11" t="n">
        <v>134.2000000000018</v>
      </c>
      <c r="G13" s="11" t="n">
        <v>227.6326493372319</v>
      </c>
    </row>
    <row r="14">
      <c r="A14" s="5" t="inlineStr">
        <is>
          <t>Октябрь</t>
        </is>
      </c>
      <c r="B14" s="11" t="n">
        <v>319.9106998873506</v>
      </c>
      <c r="C14" s="11" t="n">
        <v>438</v>
      </c>
      <c r="D14" s="11" t="n"/>
      <c r="E14" s="11" t="n">
        <v>219.8854598721577</v>
      </c>
      <c r="F14" s="11" t="n">
        <v>160.1485475319592</v>
      </c>
      <c r="G14" s="11" t="n">
        <v>267.0434950647416</v>
      </c>
    </row>
    <row r="15">
      <c r="A15" s="5" t="inlineStr">
        <is>
          <t>Ноябрь</t>
        </is>
      </c>
      <c r="B15" s="11" t="n">
        <v>279.9652999740057</v>
      </c>
      <c r="C15" s="11" t="n">
        <v>360</v>
      </c>
      <c r="D15" s="11" t="n"/>
      <c r="E15" s="11" t="n">
        <v>178.1517183022359</v>
      </c>
      <c r="F15" s="11" t="n">
        <v>89.20000000000215</v>
      </c>
      <c r="G15" s="11" t="n">
        <v>233.6993174289994</v>
      </c>
    </row>
    <row r="16">
      <c r="A16" s="5" t="inlineStr">
        <is>
          <t>Декабрь</t>
        </is>
      </c>
      <c r="B16" s="11" t="n">
        <v>333.2667999740057</v>
      </c>
      <c r="C16" s="11" t="n">
        <v>475</v>
      </c>
      <c r="D16" s="11" t="n"/>
      <c r="E16" s="11" t="n">
        <v>230.669446406414</v>
      </c>
      <c r="F16" s="11" t="n">
        <v>121.662718071095</v>
      </c>
      <c r="G16" s="11" t="n">
        <v>278.1924177135646</v>
      </c>
    </row>
    <row r="17">
      <c r="A17" s="13" t="inlineStr">
        <is>
          <t>ИТОГО год</t>
        </is>
      </c>
      <c r="B17" s="15" t="n">
        <v>3763.720949736331</v>
      </c>
      <c r="C17" s="13" t="n"/>
      <c r="D17" s="15" t="n">
        <v>1397</v>
      </c>
      <c r="E17" s="15" t="n">
        <v>2889.28020700411</v>
      </c>
      <c r="F17" s="15" t="n">
        <v>2413.898671262295</v>
      </c>
      <c r="G17" s="15" t="n">
        <v>3154.164532757862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ОФД — выручка 2026, помесячно</t>
        </is>
      </c>
    </row>
    <row r="2">
      <c r="A2" s="2" t="inlineStr">
        <is>
          <t>Проекты Проект п453 · Афина · Подключение · Онлайн · факт по Май, далее прогноз (база) и коридор низ/верх</t>
        </is>
      </c>
    </row>
    <row r="4">
      <c r="A4" s="4" t="inlineStr">
        <is>
          <t>Месяц</t>
        </is>
      </c>
      <c r="B4" s="4" t="inlineStr">
        <is>
          <t>План 2026</t>
        </is>
      </c>
      <c r="C4" s="4" t="inlineStr">
        <is>
          <t>Факт 2025</t>
        </is>
      </c>
      <c r="D4" s="4" t="inlineStr">
        <is>
          <t>Факт 2026</t>
        </is>
      </c>
      <c r="E4" s="4" t="inlineStr">
        <is>
          <t>Прогноз база</t>
        </is>
      </c>
      <c r="F4" s="4" t="inlineStr">
        <is>
          <t>Прогноз низ</t>
        </is>
      </c>
      <c r="G4" s="4" t="inlineStr">
        <is>
          <t>Прогноз верх</t>
        </is>
      </c>
    </row>
    <row r="5">
      <c r="A5" s="5" t="inlineStr">
        <is>
          <t>Январь</t>
        </is>
      </c>
      <c r="B5" s="6" t="n">
        <v>2810129.792756177</v>
      </c>
      <c r="C5" s="6" t="n">
        <v>4247510.21</v>
      </c>
      <c r="D5" s="6" t="n">
        <v>4051268</v>
      </c>
      <c r="E5" s="6" t="n"/>
      <c r="F5" s="6" t="n"/>
      <c r="G5" s="6" t="n"/>
    </row>
    <row r="6">
      <c r="A6" s="5" t="inlineStr">
        <is>
          <t>Февраль</t>
        </is>
      </c>
      <c r="B6" s="6" t="n">
        <v>3106809.006335288</v>
      </c>
      <c r="C6" s="6" t="n">
        <v>4139667.24</v>
      </c>
      <c r="D6" s="6" t="n">
        <v>4117291.34</v>
      </c>
      <c r="E6" s="6" t="n"/>
      <c r="F6" s="6" t="n"/>
      <c r="G6" s="6" t="n"/>
    </row>
    <row r="7">
      <c r="A7" s="5" t="inlineStr">
        <is>
          <t>Март</t>
        </is>
      </c>
      <c r="B7" s="6" t="n">
        <v>3178600.318375708</v>
      </c>
      <c r="C7" s="6" t="n">
        <v>4230686.78</v>
      </c>
      <c r="D7" s="6" t="n">
        <v>4177257.07</v>
      </c>
      <c r="E7" s="6" t="n"/>
      <c r="F7" s="6" t="n"/>
      <c r="G7" s="6" t="n"/>
    </row>
    <row r="8">
      <c r="A8" s="5" t="inlineStr">
        <is>
          <t>Апрель</t>
        </is>
      </c>
      <c r="B8" s="6" t="n">
        <v>3241746.667406957</v>
      </c>
      <c r="C8" s="6" t="n">
        <v>5801236.93</v>
      </c>
      <c r="D8" s="6" t="n">
        <v>3708388.14</v>
      </c>
      <c r="E8" s="6" t="n"/>
      <c r="F8" s="6" t="n"/>
      <c r="G8" s="6" t="n"/>
    </row>
    <row r="9">
      <c r="A9" s="5" t="inlineStr">
        <is>
          <t>Май</t>
        </is>
      </c>
      <c r="B9" s="6" t="n">
        <v>2968801.044866289</v>
      </c>
      <c r="C9" s="6" t="n">
        <v>4003480.27</v>
      </c>
      <c r="D9" s="6" t="n">
        <v>2843729.85</v>
      </c>
      <c r="E9" s="6" t="n"/>
      <c r="F9" s="6" t="n"/>
      <c r="G9" s="6" t="n"/>
    </row>
    <row r="10">
      <c r="A10" s="5" t="inlineStr">
        <is>
          <t>Июнь</t>
        </is>
      </c>
      <c r="B10" s="6" t="n">
        <v>3042927.784869445</v>
      </c>
      <c r="C10" s="6" t="n">
        <v>4119078.85</v>
      </c>
      <c r="D10" s="6" t="n"/>
      <c r="E10" s="6" t="n">
        <v>3607218.915260342</v>
      </c>
      <c r="F10" s="6" t="n">
        <v>3414149.443999988</v>
      </c>
      <c r="G10" s="6" t="n">
        <v>3757005.320959318</v>
      </c>
    </row>
    <row r="11">
      <c r="A11" s="5" t="inlineStr">
        <is>
          <t>Июль</t>
        </is>
      </c>
      <c r="B11" s="6" t="n">
        <v>3031387.357925069</v>
      </c>
      <c r="C11" s="6" t="n">
        <v>3662365.2</v>
      </c>
      <c r="D11" s="6" t="n"/>
      <c r="E11" s="6" t="n">
        <v>3413275.795122174</v>
      </c>
      <c r="F11" s="6" t="n">
        <v>2957435.793999986</v>
      </c>
      <c r="G11" s="6" t="n">
        <v>3742756.726020012</v>
      </c>
    </row>
    <row r="12">
      <c r="A12" s="5" t="inlineStr">
        <is>
          <t>Август</t>
        </is>
      </c>
      <c r="B12" s="6" t="n">
        <v>2992991.751534346</v>
      </c>
      <c r="C12" s="6" t="n">
        <v>3036270.56</v>
      </c>
      <c r="D12" s="6" t="n"/>
      <c r="E12" s="6" t="n">
        <v>3136636.550911444</v>
      </c>
      <c r="F12" s="6" t="n">
        <v>2331341.153999985</v>
      </c>
      <c r="G12" s="6" t="n">
        <v>3695350.902513886</v>
      </c>
    </row>
    <row r="13">
      <c r="A13" s="5" t="inlineStr">
        <is>
          <t>Сентябрь</t>
        </is>
      </c>
      <c r="B13" s="6" t="n">
        <v>2901984.613445907</v>
      </c>
      <c r="C13" s="6" t="n">
        <v>3091534.05</v>
      </c>
      <c r="D13" s="6" t="n"/>
      <c r="E13" s="6" t="n">
        <v>3113955.313009272</v>
      </c>
      <c r="F13" s="6" t="n">
        <v>2386604.643999983</v>
      </c>
      <c r="G13" s="6" t="n">
        <v>3680312.910176613</v>
      </c>
    </row>
    <row r="14">
      <c r="A14" s="5" t="inlineStr">
        <is>
          <t>Октябрь</t>
        </is>
      </c>
      <c r="B14" s="6" t="n">
        <v>3277976.709883101</v>
      </c>
      <c r="C14" s="6" t="n">
        <v>3457517.25</v>
      </c>
      <c r="D14" s="6" t="n"/>
      <c r="E14" s="6" t="n">
        <v>3449607.984927707</v>
      </c>
      <c r="F14" s="6" t="n">
        <v>2752587.843999983</v>
      </c>
      <c r="G14" s="6" t="n">
        <v>4047212.688466714</v>
      </c>
    </row>
    <row r="15">
      <c r="A15" s="5" t="inlineStr">
        <is>
          <t>Ноябрь</t>
        </is>
      </c>
      <c r="B15" s="6" t="n">
        <v>3197016.051724652</v>
      </c>
      <c r="C15" s="6" t="n">
        <v>2915834.57</v>
      </c>
      <c r="D15" s="6" t="n"/>
      <c r="E15" s="6" t="n">
        <v>3186874.829107625</v>
      </c>
      <c r="F15" s="6" t="n">
        <v>2210905.163999981</v>
      </c>
      <c r="G15" s="6" t="n">
        <v>3947253.161000401</v>
      </c>
    </row>
    <row r="16">
      <c r="A16" s="5" t="inlineStr">
        <is>
          <t>Декабрь</t>
        </is>
      </c>
      <c r="B16" s="6" t="n">
        <v>3794301.338165053</v>
      </c>
      <c r="C16" s="6" t="n">
        <v>5425472.9</v>
      </c>
      <c r="D16" s="6" t="n"/>
      <c r="E16" s="6" t="n">
        <v>4512343.748466134</v>
      </c>
      <c r="F16" s="6" t="n">
        <v>3674639.974324989</v>
      </c>
      <c r="G16" s="6" t="n">
        <v>4720543.493999979</v>
      </c>
    </row>
    <row r="17">
      <c r="A17" s="13" t="inlineStr">
        <is>
          <t>ИТОГО год</t>
        </is>
      </c>
      <c r="B17" s="14" t="n">
        <v>37544672.43728799</v>
      </c>
      <c r="C17" s="13" t="n"/>
      <c r="D17" s="14" t="n">
        <v>18897934.4</v>
      </c>
      <c r="E17" s="14" t="n">
        <v>43317847.53680471</v>
      </c>
      <c r="F17" s="14" t="n">
        <v>38625598.4183249</v>
      </c>
      <c r="G17" s="14" t="n">
        <v>46488369.60313693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ОФД — оплаты 2026, помесячно</t>
        </is>
      </c>
    </row>
    <row r="2">
      <c r="A2" s="2" t="inlineStr">
        <is>
          <t>Проекты Проект п453 · Афина · Подключение · Онлайн · факт по Май, далее прогноз (база) и коридор низ/верх</t>
        </is>
      </c>
    </row>
    <row r="4">
      <c r="A4" s="4" t="inlineStr">
        <is>
          <t>Месяц</t>
        </is>
      </c>
      <c r="B4" s="4" t="inlineStr">
        <is>
          <t>План 2026</t>
        </is>
      </c>
      <c r="C4" s="4" t="inlineStr">
        <is>
          <t>Факт 2025</t>
        </is>
      </c>
      <c r="D4" s="4" t="inlineStr">
        <is>
          <t>Факт 2026</t>
        </is>
      </c>
      <c r="E4" s="4" t="inlineStr">
        <is>
          <t>Прогноз база</t>
        </is>
      </c>
      <c r="F4" s="4" t="inlineStr">
        <is>
          <t>Прогноз низ</t>
        </is>
      </c>
      <c r="G4" s="4" t="inlineStr">
        <is>
          <t>Прогноз верх</t>
        </is>
      </c>
    </row>
    <row r="5">
      <c r="A5" s="5" t="inlineStr">
        <is>
          <t>Январь</t>
        </is>
      </c>
      <c r="B5" s="11" t="n">
        <v>553.1295998444964</v>
      </c>
      <c r="C5" s="11" t="n">
        <v>925</v>
      </c>
      <c r="D5" s="11" t="n">
        <v>712</v>
      </c>
      <c r="E5" s="11" t="n"/>
      <c r="F5" s="11" t="n"/>
      <c r="G5" s="11" t="n"/>
    </row>
    <row r="6">
      <c r="A6" s="5" t="inlineStr">
        <is>
          <t>Февраль</t>
        </is>
      </c>
      <c r="B6" s="11" t="n">
        <v>611.4680998825025</v>
      </c>
      <c r="C6" s="11" t="n">
        <v>800</v>
      </c>
      <c r="D6" s="11" t="n">
        <v>699</v>
      </c>
      <c r="E6" s="11" t="n"/>
      <c r="F6" s="11" t="n"/>
      <c r="G6" s="11" t="n"/>
    </row>
    <row r="7">
      <c r="A7" s="5" t="inlineStr">
        <is>
          <t>Март</t>
        </is>
      </c>
      <c r="B7" s="11" t="n">
        <v>621.6022998825026</v>
      </c>
      <c r="C7" s="11" t="n">
        <v>785</v>
      </c>
      <c r="D7" s="11" t="n">
        <v>711</v>
      </c>
      <c r="E7" s="11" t="n"/>
      <c r="F7" s="11" t="n"/>
      <c r="G7" s="11" t="n"/>
    </row>
    <row r="8">
      <c r="A8" s="5" t="inlineStr">
        <is>
          <t>Апрель</t>
        </is>
      </c>
      <c r="B8" s="11" t="n">
        <v>637.577022890739</v>
      </c>
      <c r="C8" s="11" t="n">
        <v>1013</v>
      </c>
      <c r="D8" s="11" t="n">
        <v>576</v>
      </c>
      <c r="E8" s="11" t="n"/>
      <c r="F8" s="11" t="n"/>
      <c r="G8" s="11" t="n"/>
    </row>
    <row r="9">
      <c r="A9" s="5" t="inlineStr">
        <is>
          <t>Май</t>
        </is>
      </c>
      <c r="B9" s="11" t="n">
        <v>584.6209227040131</v>
      </c>
      <c r="C9" s="11" t="n">
        <v>866</v>
      </c>
      <c r="D9" s="11" t="n">
        <v>489</v>
      </c>
      <c r="E9" s="11" t="n"/>
      <c r="F9" s="11" t="n"/>
      <c r="G9" s="11" t="n"/>
    </row>
    <row r="10">
      <c r="A10" s="5" t="inlineStr">
        <is>
          <t>Июнь</t>
        </is>
      </c>
      <c r="B10" s="11" t="n">
        <v>597.8854260369515</v>
      </c>
      <c r="C10" s="11" t="n">
        <v>726</v>
      </c>
      <c r="D10" s="11" t="n"/>
      <c r="E10" s="11" t="n">
        <v>574.3371580430527</v>
      </c>
      <c r="F10" s="11" t="n">
        <v>485.5999999999999</v>
      </c>
      <c r="G10" s="11" t="n">
        <v>633.3805857756607</v>
      </c>
    </row>
    <row r="11">
      <c r="A11" s="5" t="inlineStr">
        <is>
          <t>Июль</t>
        </is>
      </c>
      <c r="B11" s="11" t="n">
        <v>594.5740260369514</v>
      </c>
      <c r="C11" s="11" t="n">
        <v>627</v>
      </c>
      <c r="D11" s="11" t="n"/>
      <c r="E11" s="11" t="n">
        <v>534.6838385656411</v>
      </c>
      <c r="F11" s="11" t="n">
        <v>386.6</v>
      </c>
      <c r="G11" s="11" t="n">
        <v>629.8725951466871</v>
      </c>
    </row>
    <row r="12">
      <c r="A12" s="5" t="inlineStr">
        <is>
          <t>Август</t>
        </is>
      </c>
      <c r="B12" s="11" t="n">
        <v>584.9120258783644</v>
      </c>
      <c r="C12" s="11" t="n">
        <v>586</v>
      </c>
      <c r="D12" s="11" t="n"/>
      <c r="E12" s="11" t="n">
        <v>514.5393659549742</v>
      </c>
      <c r="F12" s="11" t="n">
        <v>345.6000000000001</v>
      </c>
      <c r="G12" s="11" t="n">
        <v>619.6369830148199</v>
      </c>
    </row>
    <row r="13">
      <c r="A13" s="5" t="inlineStr">
        <is>
          <t>Сентябрь</t>
        </is>
      </c>
      <c r="B13" s="11" t="n">
        <v>573.0697258783644</v>
      </c>
      <c r="C13" s="11" t="n">
        <v>561</v>
      </c>
      <c r="D13" s="11" t="n"/>
      <c r="E13" s="11" t="n">
        <v>499.6359641188786</v>
      </c>
      <c r="F13" s="11" t="n">
        <v>320.5999999999999</v>
      </c>
      <c r="G13" s="11" t="n">
        <v>607.0916313733709</v>
      </c>
    </row>
    <row r="14">
      <c r="A14" s="5" t="inlineStr">
        <is>
          <t>Октябрь</t>
        </is>
      </c>
      <c r="B14" s="11" t="n">
        <v>641.4724260369514</v>
      </c>
      <c r="C14" s="11" t="n">
        <v>603</v>
      </c>
      <c r="D14" s="11" t="n"/>
      <c r="E14" s="11" t="n">
        <v>544.3503545490897</v>
      </c>
      <c r="F14" s="11" t="n">
        <v>362.6</v>
      </c>
      <c r="G14" s="11" t="n">
        <v>679.5552513385867</v>
      </c>
    </row>
    <row r="15">
      <c r="A15" s="5" t="inlineStr">
        <is>
          <t>Ноябрь</t>
        </is>
      </c>
      <c r="B15" s="11" t="n">
        <v>628.7328258882317</v>
      </c>
      <c r="C15" s="11" t="n">
        <v>511</v>
      </c>
      <c r="D15" s="11" t="n"/>
      <c r="E15" s="11" t="n">
        <v>503.5992871742177</v>
      </c>
      <c r="F15" s="11" t="n">
        <v>270.6</v>
      </c>
      <c r="G15" s="11" t="n">
        <v>666.0593287866208</v>
      </c>
    </row>
    <row r="16">
      <c r="A16" s="5" t="inlineStr">
        <is>
          <t>Декабрь</t>
        </is>
      </c>
      <c r="B16" s="11" t="n">
        <v>746.2209264145296</v>
      </c>
      <c r="C16" s="11" t="n">
        <v>959</v>
      </c>
      <c r="D16" s="11" t="n"/>
      <c r="E16" s="11" t="n">
        <v>724.0971884403589</v>
      </c>
      <c r="F16" s="11" t="n">
        <v>600.51800642271</v>
      </c>
      <c r="G16" s="11" t="n">
        <v>790.5224427753153</v>
      </c>
    </row>
    <row r="17">
      <c r="A17" s="13" t="inlineStr">
        <is>
          <t>ИТОГО год</t>
        </is>
      </c>
      <c r="B17" s="15" t="n">
        <v>7375.265327374596</v>
      </c>
      <c r="C17" s="13" t="n"/>
      <c r="D17" s="15" t="n">
        <v>3187</v>
      </c>
      <c r="E17" s="15" t="n">
        <v>7082.243156846213</v>
      </c>
      <c r="F17" s="15" t="n">
        <v>5959.11800642271</v>
      </c>
      <c r="G17" s="15" t="n">
        <v>7813.118818211061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Прогноз года по методам (выручка), ₽</t>
        </is>
      </c>
    </row>
    <row r="2">
      <c r="A2" s="2" t="inlineStr">
        <is>
          <t>Ансамбль (база) — взвешенное среднее: pacing 0.40 · YoY 0.25 · ETS 0.15 · регрессия 0.20</t>
        </is>
      </c>
    </row>
    <row r="4">
      <c r="A4" s="4" t="inlineStr">
        <is>
          <t>Метод</t>
        </is>
      </c>
      <c r="B4" s="4" t="inlineStr">
        <is>
          <t>Маркет</t>
        </is>
      </c>
      <c r="C4" s="4" t="inlineStr">
        <is>
          <t>ОФД</t>
        </is>
      </c>
    </row>
    <row r="5">
      <c r="A5" s="5" t="inlineStr">
        <is>
          <t>Plan-pacing</t>
        </is>
      </c>
      <c r="B5" s="6" t="n">
        <v>55790466.58520305</v>
      </c>
      <c r="C5" s="6" t="n">
        <v>46355202.65119191</v>
      </c>
    </row>
    <row r="6">
      <c r="A6" s="5" t="inlineStr">
        <is>
          <t>Сезонный YoY</t>
        </is>
      </c>
      <c r="B6" s="6" t="n">
        <v>51722126.59464855</v>
      </c>
      <c r="C6" s="6" t="n">
        <v>40564908.19614005</v>
      </c>
    </row>
    <row r="7">
      <c r="A7" s="5" t="inlineStr">
        <is>
          <t>ETS / Holt</t>
        </is>
      </c>
      <c r="B7" s="6" t="n">
        <v>49540983.0152276</v>
      </c>
      <c r="C7" s="6" t="n">
        <v>44668260.26461965</v>
      </c>
    </row>
    <row r="8">
      <c r="A8" s="5" t="inlineStr">
        <is>
          <t>Регрессия+сезон</t>
        </is>
      </c>
      <c r="B8" s="6" t="n">
        <v>47550843.44000033</v>
      </c>
      <c r="C8" s="6" t="n">
        <v>39671501.93799989</v>
      </c>
    </row>
    <row r="9">
      <c r="A9" s="16" t="inlineStr">
        <is>
          <t>АНСАМБЛЬ (база)</t>
        </is>
      </c>
      <c r="B9" s="14" t="n">
        <v>52188034.42302756</v>
      </c>
      <c r="C9" s="14" t="n">
        <v>43317847.53680471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Контекстная реклама: расход / оплаты / CPO / CPL</t>
        </is>
      </c>
    </row>
    <row r="2">
      <c r="A2" s="2" t="inlineStr">
        <is>
          <t>Источник: дашборды Контекст (распознано с экрана, суммы сверены с «Итого»). Выручка по целевым лидам — из data (15). Июнь 2026 — неполный.</t>
        </is>
      </c>
    </row>
    <row r="4">
      <c r="A4" s="4" t="inlineStr">
        <is>
          <t>Месяц</t>
        </is>
      </c>
      <c r="B4" s="4" t="inlineStr">
        <is>
          <t>Маркет расход</t>
        </is>
      </c>
      <c r="C4" s="4" t="inlineStr">
        <is>
          <t>Маркет опл.</t>
        </is>
      </c>
      <c r="D4" s="4" t="inlineStr">
        <is>
          <t>Маркет CPO</t>
        </is>
      </c>
      <c r="E4" s="4" t="inlineStr">
        <is>
          <t>Маркет CPL</t>
        </is>
      </c>
      <c r="F4" s="4" t="inlineStr">
        <is>
          <t>ОФД расход</t>
        </is>
      </c>
      <c r="G4" s="4" t="inlineStr">
        <is>
          <t>ОФД опл.</t>
        </is>
      </c>
      <c r="H4" s="4" t="inlineStr">
        <is>
          <t>ОФД CPO</t>
        </is>
      </c>
      <c r="I4" s="4" t="inlineStr">
        <is>
          <t>ОФД CPL</t>
        </is>
      </c>
    </row>
    <row r="5">
      <c r="A5" s="5" t="inlineStr">
        <is>
          <t>янв 2025</t>
        </is>
      </c>
      <c r="B5" s="6" t="n">
        <v>1426675</v>
      </c>
      <c r="C5" s="5" t="n">
        <v>11</v>
      </c>
      <c r="D5" s="6" t="n">
        <v>129698</v>
      </c>
      <c r="E5" s="6" t="n">
        <v>16212</v>
      </c>
      <c r="F5" s="6" t="n">
        <v>349519</v>
      </c>
      <c r="G5" s="5" t="n">
        <v>40</v>
      </c>
      <c r="H5" s="6" t="n">
        <v>8738</v>
      </c>
      <c r="I5" s="6" t="n">
        <v>2608</v>
      </c>
    </row>
    <row r="6">
      <c r="A6" s="5" t="inlineStr">
        <is>
          <t>фев 2025</t>
        </is>
      </c>
      <c r="B6" s="6" t="n">
        <v>1458662</v>
      </c>
      <c r="C6" s="5" t="n">
        <v>17</v>
      </c>
      <c r="D6" s="6" t="n">
        <v>85804</v>
      </c>
      <c r="E6" s="6" t="n">
        <v>14301</v>
      </c>
      <c r="F6" s="6" t="n">
        <v>417835</v>
      </c>
      <c r="G6" s="5" t="n">
        <v>35</v>
      </c>
      <c r="H6" s="6" t="n">
        <v>11938</v>
      </c>
      <c r="I6" s="6" t="n">
        <v>4096</v>
      </c>
    </row>
    <row r="7">
      <c r="A7" s="5" t="inlineStr">
        <is>
          <t>мар 2025</t>
        </is>
      </c>
      <c r="B7" s="6" t="n">
        <v>1291864</v>
      </c>
      <c r="C7" s="5" t="n">
        <v>14</v>
      </c>
      <c r="D7" s="6" t="n">
        <v>92276</v>
      </c>
      <c r="E7" s="6" t="n">
        <v>14680</v>
      </c>
      <c r="F7" s="6" t="n">
        <v>457771</v>
      </c>
      <c r="G7" s="5" t="n">
        <v>20</v>
      </c>
      <c r="H7" s="6" t="n">
        <v>22889</v>
      </c>
      <c r="I7" s="6" t="n">
        <v>4976</v>
      </c>
    </row>
    <row r="8">
      <c r="A8" s="5" t="inlineStr">
        <is>
          <t>апр 2025</t>
        </is>
      </c>
      <c r="B8" s="6" t="n">
        <v>1653242</v>
      </c>
      <c r="C8" s="5" t="n">
        <v>31</v>
      </c>
      <c r="D8" s="6" t="n">
        <v>53330</v>
      </c>
      <c r="E8" s="6" t="n">
        <v>13018</v>
      </c>
      <c r="F8" s="6" t="n">
        <v>586537</v>
      </c>
      <c r="G8" s="5" t="n">
        <v>17</v>
      </c>
      <c r="H8" s="6" t="n">
        <v>34502</v>
      </c>
      <c r="I8" s="6" t="n">
        <v>8626</v>
      </c>
    </row>
    <row r="9">
      <c r="A9" s="5" t="inlineStr">
        <is>
          <t>май 2025</t>
        </is>
      </c>
      <c r="B9" s="6" t="n">
        <v>1140537</v>
      </c>
      <c r="C9" s="5" t="n">
        <v>24</v>
      </c>
      <c r="D9" s="6" t="n">
        <v>47522</v>
      </c>
      <c r="E9" s="6" t="n">
        <v>9666</v>
      </c>
      <c r="F9" s="6" t="n">
        <v>524111</v>
      </c>
      <c r="G9" s="5" t="n">
        <v>11</v>
      </c>
      <c r="H9" s="6" t="n">
        <v>47646</v>
      </c>
      <c r="I9" s="6" t="n">
        <v>10079</v>
      </c>
    </row>
    <row r="10">
      <c r="A10" s="5" t="inlineStr">
        <is>
          <t>июн 2025</t>
        </is>
      </c>
      <c r="B10" s="6" t="n">
        <v>892872</v>
      </c>
      <c r="C10" s="5" t="n">
        <v>26</v>
      </c>
      <c r="D10" s="6" t="n">
        <v>34341</v>
      </c>
      <c r="E10" s="6" t="n">
        <v>8504</v>
      </c>
      <c r="F10" s="6" t="n">
        <v>426952</v>
      </c>
      <c r="G10" s="5" t="n">
        <v>8</v>
      </c>
      <c r="H10" s="6" t="n">
        <v>53369</v>
      </c>
      <c r="I10" s="6" t="n">
        <v>9282</v>
      </c>
    </row>
    <row r="11">
      <c r="A11" s="5" t="inlineStr">
        <is>
          <t>июл 2025</t>
        </is>
      </c>
      <c r="B11" s="6" t="n">
        <v>679389</v>
      </c>
      <c r="C11" s="5" t="n">
        <v>20</v>
      </c>
      <c r="D11" s="6" t="n">
        <v>33969</v>
      </c>
      <c r="E11" s="6" t="n">
        <v>6596</v>
      </c>
      <c r="F11" s="6" t="n">
        <v>356743</v>
      </c>
      <c r="G11" s="5" t="n">
        <v>24</v>
      </c>
      <c r="H11" s="6" t="n">
        <v>14864</v>
      </c>
      <c r="I11" s="6" t="n">
        <v>4694</v>
      </c>
    </row>
    <row r="12">
      <c r="A12" s="5" t="inlineStr">
        <is>
          <t>авг 2025</t>
        </is>
      </c>
      <c r="B12" s="6" t="n">
        <v>468224</v>
      </c>
      <c r="C12" s="5" t="n">
        <v>16</v>
      </c>
      <c r="D12" s="6" t="n">
        <v>29264</v>
      </c>
      <c r="E12" s="6" t="n">
        <v>8361</v>
      </c>
      <c r="F12" s="6" t="n">
        <v>367080</v>
      </c>
      <c r="G12" s="5" t="n">
        <v>19</v>
      </c>
      <c r="H12" s="6" t="n">
        <v>19320</v>
      </c>
      <c r="I12" s="6" t="n">
        <v>4706</v>
      </c>
    </row>
    <row r="13">
      <c r="A13" s="5" t="inlineStr">
        <is>
          <t>сен 2025</t>
        </is>
      </c>
      <c r="B13" s="6" t="n">
        <v>624524</v>
      </c>
      <c r="C13" s="5" t="n">
        <v>20</v>
      </c>
      <c r="D13" s="6" t="n">
        <v>31226</v>
      </c>
      <c r="E13" s="6" t="n">
        <v>8217</v>
      </c>
      <c r="F13" s="6" t="n">
        <v>405867</v>
      </c>
      <c r="G13" s="5" t="n">
        <v>20</v>
      </c>
      <c r="H13" s="6" t="n">
        <v>20293</v>
      </c>
      <c r="I13" s="6" t="n">
        <v>4560</v>
      </c>
    </row>
    <row r="14">
      <c r="A14" s="5" t="inlineStr">
        <is>
          <t>окт 2025</t>
        </is>
      </c>
      <c r="B14" s="6" t="n">
        <v>827573</v>
      </c>
      <c r="C14" s="5" t="n">
        <v>18</v>
      </c>
      <c r="D14" s="6" t="n">
        <v>45976</v>
      </c>
      <c r="E14" s="6" t="n">
        <v>11034</v>
      </c>
      <c r="F14" s="6" t="n">
        <v>460200</v>
      </c>
      <c r="G14" s="5" t="n">
        <v>21</v>
      </c>
      <c r="H14" s="6" t="n">
        <v>21914</v>
      </c>
      <c r="I14" s="6" t="n">
        <v>5171</v>
      </c>
    </row>
    <row r="15">
      <c r="A15" s="5" t="inlineStr">
        <is>
          <t>ноя 2025</t>
        </is>
      </c>
      <c r="B15" s="6" t="n">
        <v>751818</v>
      </c>
      <c r="C15" s="5" t="n">
        <v>11</v>
      </c>
      <c r="D15" s="6" t="n">
        <v>68347</v>
      </c>
      <c r="E15" s="6" t="n">
        <v>11221</v>
      </c>
      <c r="F15" s="6" t="n">
        <v>432649</v>
      </c>
      <c r="G15" s="5" t="n">
        <v>23</v>
      </c>
      <c r="H15" s="6" t="n">
        <v>18811</v>
      </c>
      <c r="I15" s="6" t="n">
        <v>4973</v>
      </c>
    </row>
    <row r="16">
      <c r="A16" s="5" t="inlineStr">
        <is>
          <t>дек 2025</t>
        </is>
      </c>
      <c r="B16" s="6" t="n">
        <v>637877</v>
      </c>
      <c r="C16" s="5" t="n">
        <v>16</v>
      </c>
      <c r="D16" s="6" t="n">
        <v>39867</v>
      </c>
      <c r="E16" s="6" t="n">
        <v>9665</v>
      </c>
      <c r="F16" s="6" t="n">
        <v>386677</v>
      </c>
      <c r="G16" s="5" t="n">
        <v>30</v>
      </c>
      <c r="H16" s="6" t="n">
        <v>12889</v>
      </c>
      <c r="I16" s="6" t="n">
        <v>3906</v>
      </c>
    </row>
    <row r="17">
      <c r="A17" s="5" t="inlineStr">
        <is>
          <t>янв 2026</t>
        </is>
      </c>
      <c r="B17" s="6" t="n">
        <v>566120</v>
      </c>
      <c r="C17" s="5" t="n">
        <v>23</v>
      </c>
      <c r="D17" s="6" t="n">
        <v>24614</v>
      </c>
      <c r="E17" s="6" t="n">
        <v>7650</v>
      </c>
      <c r="F17" s="6" t="n">
        <v>415847</v>
      </c>
      <c r="G17" s="5" t="n">
        <v>32</v>
      </c>
      <c r="H17" s="6" t="n">
        <v>12995</v>
      </c>
      <c r="I17" s="6" t="n">
        <v>3465</v>
      </c>
    </row>
    <row r="18">
      <c r="A18" s="5" t="inlineStr">
        <is>
          <t>фев 2026</t>
        </is>
      </c>
      <c r="B18" s="6" t="n">
        <v>562249</v>
      </c>
      <c r="C18" s="5" t="n">
        <v>15</v>
      </c>
      <c r="D18" s="6" t="n">
        <v>37483</v>
      </c>
      <c r="E18" s="6" t="n">
        <v>9694</v>
      </c>
      <c r="F18" s="6" t="n">
        <v>386770</v>
      </c>
      <c r="G18" s="5" t="n">
        <v>29</v>
      </c>
      <c r="H18" s="6" t="n">
        <v>13337</v>
      </c>
      <c r="I18" s="6" t="n">
        <v>3484</v>
      </c>
    </row>
    <row r="19">
      <c r="A19" s="5" t="inlineStr">
        <is>
          <t>мар 2026</t>
        </is>
      </c>
      <c r="B19" s="6" t="n">
        <v>704396</v>
      </c>
      <c r="C19" s="5" t="n">
        <v>15</v>
      </c>
      <c r="D19" s="6" t="n">
        <v>46960</v>
      </c>
      <c r="E19" s="6" t="n">
        <v>10513</v>
      </c>
      <c r="F19" s="6" t="n">
        <v>423647</v>
      </c>
      <c r="G19" s="5" t="n">
        <v>25</v>
      </c>
      <c r="H19" s="6" t="n">
        <v>16946</v>
      </c>
      <c r="I19" s="6" t="n">
        <v>3560</v>
      </c>
    </row>
    <row r="20">
      <c r="A20" s="5" t="inlineStr">
        <is>
          <t>апр 2026</t>
        </is>
      </c>
      <c r="B20" s="6" t="n">
        <v>449859</v>
      </c>
      <c r="C20" s="5" t="n">
        <v>17</v>
      </c>
      <c r="D20" s="6" t="n">
        <v>26462</v>
      </c>
      <c r="E20" s="6" t="n">
        <v>5998</v>
      </c>
      <c r="F20" s="6" t="n">
        <v>390294</v>
      </c>
      <c r="G20" s="5" t="n">
        <v>21</v>
      </c>
      <c r="H20" s="6" t="n">
        <v>18585</v>
      </c>
      <c r="I20" s="6" t="n">
        <v>3199</v>
      </c>
    </row>
    <row r="21">
      <c r="A21" s="5" t="inlineStr">
        <is>
          <t>май 2026</t>
        </is>
      </c>
      <c r="B21" s="6" t="n">
        <v>467277</v>
      </c>
      <c r="C21" s="5" t="n">
        <v>20</v>
      </c>
      <c r="D21" s="6" t="n">
        <v>23364</v>
      </c>
      <c r="E21" s="6" t="n">
        <v>4537</v>
      </c>
      <c r="F21" s="6" t="n">
        <v>262720</v>
      </c>
      <c r="G21" s="5" t="n">
        <v>18</v>
      </c>
      <c r="H21" s="6" t="n">
        <v>14596</v>
      </c>
      <c r="I21" s="6" t="n">
        <v>4042</v>
      </c>
    </row>
    <row r="22">
      <c r="A22" s="5" t="inlineStr">
        <is>
          <t>июн 2026</t>
        </is>
      </c>
      <c r="B22" s="6" t="n">
        <v>129019</v>
      </c>
      <c r="C22" s="5" t="n">
        <v>1</v>
      </c>
      <c r="D22" s="6" t="n">
        <v>129019</v>
      </c>
      <c r="E22" s="6" t="n">
        <v>4608</v>
      </c>
      <c r="F22" s="6" t="n">
        <v>52264</v>
      </c>
      <c r="G22" s="5" t="n">
        <v>4</v>
      </c>
      <c r="H22" s="6" t="n">
        <v>13066</v>
      </c>
      <c r="I22" s="6" t="n">
        <v>1936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Методология прогноза 2026 — Маркет и ОФД</t>
        </is>
      </c>
    </row>
    <row r="2">
      <c r="A2" s="18" t="inlineStr"/>
    </row>
    <row r="3">
      <c r="A3" s="19" t="inlineStr">
        <is>
          <t>1. ИСТОЧНИКИ ДАННЫХ</t>
        </is>
      </c>
    </row>
    <row r="4">
      <c r="A4" s="18" t="inlineStr">
        <is>
          <t>• Царь свод все разрезы.xlsx — помесячный план и факт по проектам.</t>
        </is>
      </c>
    </row>
    <row r="5">
      <c r="A5" s="18" t="inlineStr">
        <is>
          <t xml:space="preserve">    Маркет = проекты п470 + п47101; ОФД = проект п453 (п45302 — техника/ФН/услуги внедрения — исключён).</t>
        </is>
      </c>
    </row>
    <row r="6">
      <c r="A6" s="18" t="inlineStr">
        <is>
          <t>• data (15).xlsx — рекламный факт (целевые лиды по продукту): выручка и оплаты по месяцам.</t>
        </is>
      </c>
    </row>
    <row r="7">
      <c r="A7" s="18" t="inlineStr">
        <is>
          <t>• Дашборды Контекст (PNG) — расход, оплаты, CPL по месяцам (распознано с экрана, суммы сверены с «Итого»).</t>
        </is>
      </c>
    </row>
    <row r="8">
      <c r="A8" s="18" t="inlineStr"/>
    </row>
    <row r="9">
      <c r="A9" s="19" t="inlineStr">
        <is>
          <t>2. ГОРИЗОНТ И ОБУЧАЮЩАЯ ВЫБОРКА</t>
        </is>
      </c>
    </row>
    <row r="10">
      <c r="A10" s="18" t="inlineStr">
        <is>
          <t>• Факт известен по Май 2026 включительно (YTD). Прогнозируются оставшиеся месяцы до декабря 2026.</t>
        </is>
      </c>
    </row>
    <row r="11">
      <c r="A11" s="18" t="inlineStr">
        <is>
          <t>• Обучающий ряд: янв 2025 – последний завершённый месяц 2026 (~17 точек). Июнь 2026 неполный — в обучение не берётся.</t>
        </is>
      </c>
    </row>
    <row r="12">
      <c r="A12" s="18" t="inlineStr"/>
    </row>
    <row r="13">
      <c r="A13" s="19" t="inlineStr">
        <is>
          <t>3. МОДЕЛИ (считаются независимо, затем ансамбль)</t>
        </is>
      </c>
    </row>
    <row r="14">
      <c r="A14" s="18" t="inlineStr">
        <is>
          <t>• Plan-pacing: оставшийся месяц = план месяца × (факт YTD ÷ план YTD).</t>
        </is>
      </c>
    </row>
    <row r="15">
      <c r="A15" s="18" t="inlineStr">
        <is>
          <t xml:space="preserve">    Самый бизнес-обоснованный — план уже содержит сезонность, а текущий темп выполнения переносится на остаток.</t>
        </is>
      </c>
    </row>
    <row r="16">
      <c r="A16" s="18" t="inlineStr">
        <is>
          <t>• Сезонный YoY: оставшийся месяц = факт того же месяца 2025 × (1 + g), g — прирост YTD-2026 к тому же периоду 2025.</t>
        </is>
      </c>
    </row>
    <row r="17">
      <c r="A17" s="18" t="inlineStr">
        <is>
          <t>• ETS / Holt (statsmodels ExponentialSmoothing): аддитивный демпфированный тренд; сезонность period=12, если ≥24 точек.</t>
        </is>
      </c>
    </row>
    <row r="18">
      <c r="A18" s="18" t="inlineStr">
        <is>
          <t>• Регрессия + сезонные дамми (scikit-learn LinearRegression): линейный тренд по времени + 11 месячных индикаторов.</t>
        </is>
      </c>
    </row>
    <row r="19">
      <c r="A19" s="18" t="inlineStr"/>
    </row>
    <row r="20">
      <c r="A20" s="19" t="inlineStr">
        <is>
          <t>4. АНСАМБЛЬ И СЦЕНАРИИ</t>
        </is>
      </c>
    </row>
    <row r="21">
      <c r="A21" s="18" t="inlineStr">
        <is>
          <t>• База = взвешенное среднее доступных методов: plan-pacing 0.40, сезонный YoY 0.25, ETS 0.15, регрессия 0.20.</t>
        </is>
      </c>
    </row>
    <row r="22">
      <c r="A22" s="18" t="inlineStr">
        <is>
          <t>• Коридор: НИЗ = минимум по методам в каждом месяце, ВЕРХ = максимум. Сумма за год даёт сценарии низ/база/верх.</t>
        </is>
      </c>
    </row>
    <row r="23">
      <c r="A23" s="18" t="inlineStr">
        <is>
          <t>• Отрицательные прогнозы обнуляются.</t>
        </is>
      </c>
    </row>
    <row r="24">
      <c r="A24" s="18" t="inlineStr"/>
    </row>
    <row r="25">
      <c r="A25" s="19" t="inlineStr">
        <is>
          <t>5. ВЫПОЛНЕНИЕ ПЛАНА</t>
        </is>
      </c>
    </row>
    <row r="26">
      <c r="A26" s="18" t="inlineStr">
        <is>
          <t>• Прогноз года = факт YTD + Σ прогноза остатка. Выполнение плана = прогноз года ÷ годовой план × 100%.</t>
        </is>
      </c>
    </row>
    <row r="27">
      <c r="A27" s="18" t="inlineStr">
        <is>
          <t>• Вывод: ≥100% — план будет выполнен; 95–100% — на грани; 85–95% — недовыполнение; &lt;85% — существенный недобор.</t>
        </is>
      </c>
    </row>
    <row r="28">
      <c r="A28" s="18" t="inlineStr"/>
    </row>
    <row r="29">
      <c r="A29" s="19" t="inlineStr">
        <is>
          <t>6. ОГРАНИЧЕНИЯ</t>
        </is>
      </c>
    </row>
    <row r="30">
      <c r="A30" s="18" t="inlineStr">
        <is>
          <t>• Короткий ряд (~1.5 года) — сезонные модели работают на пределе; ставка сделана на plan-pacing и YoY.</t>
        </is>
      </c>
    </row>
    <row r="31">
      <c r="A31" s="18" t="inlineStr">
        <is>
          <t>• Рекламные расход/CPL сняты с дашбордов распознаванием — возможны мелкие неточности (итоги сверены).</t>
        </is>
      </c>
    </row>
    <row r="32">
      <c r="A32" s="18" t="inlineStr">
        <is>
          <t>• Прогноз не учитывает разовые акции, изменения цен и план-факт корректировки после даты выгрузки.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Входные помесячные ряды (план/факт по проектам), ₽</t>
        </is>
      </c>
    </row>
    <row r="3">
      <c r="A3" s="4" t="inlineStr">
        <is>
          <t>Продукт</t>
        </is>
      </c>
      <c r="B3" s="4" t="inlineStr">
        <is>
          <t>Показатель</t>
        </is>
      </c>
      <c r="C3" s="4" t="inlineStr">
        <is>
          <t>Год</t>
        </is>
      </c>
      <c r="D3" s="4" t="inlineStr">
        <is>
          <t>янв</t>
        </is>
      </c>
      <c r="E3" s="4" t="inlineStr">
        <is>
          <t>фев</t>
        </is>
      </c>
      <c r="F3" s="4" t="inlineStr">
        <is>
          <t>мар</t>
        </is>
      </c>
      <c r="G3" s="4" t="inlineStr">
        <is>
          <t>апр</t>
        </is>
      </c>
      <c r="H3" s="4" t="inlineStr">
        <is>
          <t>май</t>
        </is>
      </c>
      <c r="I3" s="4" t="inlineStr">
        <is>
          <t>июн</t>
        </is>
      </c>
      <c r="J3" s="4" t="inlineStr">
        <is>
          <t>июл</t>
        </is>
      </c>
      <c r="K3" s="4" t="inlineStr">
        <is>
          <t>авг</t>
        </is>
      </c>
      <c r="L3" s="4" t="inlineStr">
        <is>
          <t>сен</t>
        </is>
      </c>
      <c r="M3" s="4" t="inlineStr">
        <is>
          <t>окт</t>
        </is>
      </c>
      <c r="N3" s="4" t="inlineStr">
        <is>
          <t>ноя</t>
        </is>
      </c>
      <c r="O3" s="4" t="inlineStr">
        <is>
          <t>дек</t>
        </is>
      </c>
    </row>
    <row r="4">
      <c r="A4" t="inlineStr">
        <is>
          <t>Маркет</t>
        </is>
      </c>
      <c r="B4" t="inlineStr">
        <is>
          <t>План 2026</t>
        </is>
      </c>
      <c r="C4" t="n">
        <v>2026</v>
      </c>
      <c r="D4" s="20" t="n">
        <v>6263511</v>
      </c>
      <c r="E4" s="20" t="n">
        <v>6056422</v>
      </c>
      <c r="F4" s="20" t="n">
        <v>7033099</v>
      </c>
      <c r="G4" s="20" t="n">
        <v>6061387</v>
      </c>
      <c r="H4" s="20" t="n">
        <v>4851620</v>
      </c>
      <c r="I4" s="20" t="n">
        <v>5986082</v>
      </c>
      <c r="J4" s="20" t="n">
        <v>5872570</v>
      </c>
      <c r="K4" s="20" t="n">
        <v>5226458</v>
      </c>
      <c r="L4" s="20" t="n">
        <v>5097000</v>
      </c>
      <c r="M4" s="20" t="n">
        <v>5770038</v>
      </c>
      <c r="N4" s="20" t="n">
        <v>5630590</v>
      </c>
      <c r="O4" s="20" t="n">
        <v>6744176</v>
      </c>
    </row>
    <row r="5">
      <c r="A5" t="inlineStr">
        <is>
          <t>Маркет</t>
        </is>
      </c>
      <c r="B5" t="inlineStr">
        <is>
          <t>Факт 2025</t>
        </is>
      </c>
      <c r="C5" t="n">
        <v>2025</v>
      </c>
      <c r="D5" s="20" t="n">
        <v>8321032</v>
      </c>
      <c r="E5" s="20" t="n">
        <v>7282045</v>
      </c>
      <c r="F5" s="20" t="n">
        <v>8580172</v>
      </c>
      <c r="G5" s="20" t="n">
        <v>10007206</v>
      </c>
      <c r="H5" s="20" t="n">
        <v>7279957</v>
      </c>
      <c r="I5" s="20" t="n">
        <v>8233697</v>
      </c>
      <c r="J5" s="20" t="n">
        <v>7161254</v>
      </c>
      <c r="K5" s="20" t="n">
        <v>5821013</v>
      </c>
      <c r="L5" s="20" t="n">
        <v>6738697</v>
      </c>
      <c r="M5" s="20" t="n">
        <v>6788530</v>
      </c>
      <c r="N5" s="20" t="n">
        <v>5841716</v>
      </c>
      <c r="O5" s="20" t="n">
        <v>7617428</v>
      </c>
    </row>
    <row r="6">
      <c r="A6" t="inlineStr">
        <is>
          <t>Маркет</t>
        </is>
      </c>
      <c r="B6" t="inlineStr">
        <is>
          <t>Факт 2026</t>
        </is>
      </c>
      <c r="C6" t="n">
        <v>2026</v>
      </c>
      <c r="D6" s="20" t="n">
        <v>4200496</v>
      </c>
      <c r="E6" s="20" t="n">
        <v>4351111</v>
      </c>
      <c r="F6" s="20" t="n">
        <v>5962805</v>
      </c>
      <c r="G6" s="20" t="n">
        <v>4702396</v>
      </c>
      <c r="H6" s="20" t="n">
        <v>4702810</v>
      </c>
      <c r="I6" s="20" t="n">
        <v>1831026</v>
      </c>
      <c r="J6" s="20" t="n">
        <v>0</v>
      </c>
      <c r="K6" s="20" t="n">
        <v>0</v>
      </c>
      <c r="L6" s="20" t="n">
        <v>0</v>
      </c>
      <c r="M6" s="20" t="n">
        <v>0</v>
      </c>
      <c r="N6" s="20" t="n">
        <v>0</v>
      </c>
      <c r="O6" s="20" t="n">
        <v>0</v>
      </c>
    </row>
    <row r="7">
      <c r="A7" t="inlineStr">
        <is>
          <t>ОФД</t>
        </is>
      </c>
      <c r="B7" t="inlineStr">
        <is>
          <t>План 2026</t>
        </is>
      </c>
      <c r="C7" t="n">
        <v>2026</v>
      </c>
      <c r="D7" s="20" t="n">
        <v>2810130</v>
      </c>
      <c r="E7" s="20" t="n">
        <v>3106809</v>
      </c>
      <c r="F7" s="20" t="n">
        <v>3178600</v>
      </c>
      <c r="G7" s="20" t="n">
        <v>3241747</v>
      </c>
      <c r="H7" s="20" t="n">
        <v>2968801</v>
      </c>
      <c r="I7" s="20" t="n">
        <v>3042928</v>
      </c>
      <c r="J7" s="20" t="n">
        <v>3031387</v>
      </c>
      <c r="K7" s="20" t="n">
        <v>2992992</v>
      </c>
      <c r="L7" s="20" t="n">
        <v>2901985</v>
      </c>
      <c r="M7" s="20" t="n">
        <v>3277977</v>
      </c>
      <c r="N7" s="20" t="n">
        <v>3197016</v>
      </c>
      <c r="O7" s="20" t="n">
        <v>3794301</v>
      </c>
    </row>
    <row r="8">
      <c r="A8" t="inlineStr">
        <is>
          <t>ОФД</t>
        </is>
      </c>
      <c r="B8" t="inlineStr">
        <is>
          <t>Факт 2025</t>
        </is>
      </c>
      <c r="C8" t="n">
        <v>2025</v>
      </c>
      <c r="D8" s="20" t="n">
        <v>4247510</v>
      </c>
      <c r="E8" s="20" t="n">
        <v>4139667</v>
      </c>
      <c r="F8" s="20" t="n">
        <v>4230687</v>
      </c>
      <c r="G8" s="20" t="n">
        <v>5801237</v>
      </c>
      <c r="H8" s="20" t="n">
        <v>4003480</v>
      </c>
      <c r="I8" s="20" t="n">
        <v>4119079</v>
      </c>
      <c r="J8" s="20" t="n">
        <v>3662365</v>
      </c>
      <c r="K8" s="20" t="n">
        <v>3036271</v>
      </c>
      <c r="L8" s="20" t="n">
        <v>3091534</v>
      </c>
      <c r="M8" s="20" t="n">
        <v>3457517</v>
      </c>
      <c r="N8" s="20" t="n">
        <v>2915835</v>
      </c>
      <c r="O8" s="20" t="n">
        <v>5425473</v>
      </c>
    </row>
    <row r="9">
      <c r="A9" t="inlineStr">
        <is>
          <t>ОФД</t>
        </is>
      </c>
      <c r="B9" t="inlineStr">
        <is>
          <t>Факт 2026</t>
        </is>
      </c>
      <c r="C9" t="n">
        <v>2026</v>
      </c>
      <c r="D9" s="20" t="n">
        <v>4051268</v>
      </c>
      <c r="E9" s="20" t="n">
        <v>4117291</v>
      </c>
      <c r="F9" s="20" t="n">
        <v>4177257</v>
      </c>
      <c r="G9" s="20" t="n">
        <v>3708388</v>
      </c>
      <c r="H9" s="20" t="n">
        <v>2843730</v>
      </c>
      <c r="I9" s="20" t="n">
        <v>1188408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2026-06-15T06:48:33Z</dcterms:created>
  <dcterms:modified xmlns:dcterms="http://purl.org/dc/terms/" xmlns:xsi="http://www.w3.org/2001/XMLSchema-instance" xsi:type="dcterms:W3CDTF">2026-06-15T06:48:33Z</dcterms:modified>
</cp:coreProperties>
</file>