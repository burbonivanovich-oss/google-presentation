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Маркет (выручка)" sheetId="2" state="visible" r:id="rId2"/>
    <sheet xmlns:r="http://schemas.openxmlformats.org/officeDocument/2006/relationships" name="Маркет (оплаты)" sheetId="3" state="visible" r:id="rId3"/>
    <sheet xmlns:r="http://schemas.openxmlformats.org/officeDocument/2006/relationships" name="Маркет (лиды)" sheetId="4" state="visible" r:id="rId4"/>
    <sheet xmlns:r="http://schemas.openxmlformats.org/officeDocument/2006/relationships" name="ОФД (выручка)" sheetId="5" state="visible" r:id="rId5"/>
    <sheet xmlns:r="http://schemas.openxmlformats.org/officeDocument/2006/relationships" name="ОФД (оплаты)" sheetId="6" state="visible" r:id="rId6"/>
    <sheet xmlns:r="http://schemas.openxmlformats.org/officeDocument/2006/relationships" name="ОФД (лиды)" sheetId="7" state="visible" r:id="rId7"/>
    <sheet xmlns:r="http://schemas.openxmlformats.org/officeDocument/2006/relationships" name="Сравнение методов" sheetId="8" state="visible" r:id="rId8"/>
    <sheet xmlns:r="http://schemas.openxmlformats.org/officeDocument/2006/relationships" name="Реклама — эффективность" sheetId="9" state="visible" r:id="rId9"/>
    <sheet xmlns:r="http://schemas.openxmlformats.org/officeDocument/2006/relationships" name="Методология" sheetId="10" state="visible" r:id="rId10"/>
    <sheet xmlns:r="http://schemas.openxmlformats.org/officeDocument/2006/relationships" name="Данные (вход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₽"/>
    <numFmt numFmtId="165" formatCode="0.0%"/>
  </numFmts>
  <fonts count="14">
    <font>
      <name val="Calibri"/>
      <family val="2"/>
      <color theme="1"/>
      <sz val="11"/>
      <scheme val="minor"/>
    </font>
    <font>
      <b val="1"/>
      <color rgb="001D2430"/>
      <sz val="16"/>
    </font>
    <font>
      <i val="1"/>
      <color rgb="005E6670"/>
      <sz val="10"/>
    </font>
    <font>
      <b val="1"/>
      <color rgb="00F28C0D"/>
      <sz val="12"/>
    </font>
    <font>
      <b val="1"/>
      <color rgb="00FFFFFF"/>
      <sz val="11"/>
    </font>
    <font>
      <b val="1"/>
    </font>
    <font>
      <name val="Montserrat"/>
      <b val="1"/>
      <color rgb="001D2430"/>
      <sz val="16"/>
    </font>
    <font>
      <name val="Montserrat"/>
      <i val="1"/>
      <color rgb="005E6670"/>
      <sz val="10"/>
    </font>
    <font>
      <name val="Montserrat"/>
      <b val="1"/>
      <color rgb="001D2430"/>
      <sz val="11"/>
    </font>
    <font>
      <name val="Montserrat"/>
      <b val="1"/>
      <color rgb="005E6670"/>
      <sz val="9"/>
    </font>
    <font>
      <name val="Montserrat"/>
      <b val="1"/>
      <color rgb="001D2430"/>
      <sz val="13"/>
    </font>
    <font>
      <name val="Montserrat"/>
      <b val="1"/>
      <color rgb="00FFFFFF"/>
      <sz val="11"/>
    </font>
    <font>
      <name val="Montserrat"/>
      <b val="1"/>
      <sz val="11"/>
    </font>
    <font>
      <name val="Montserrat"/>
      <sz val="11"/>
    </font>
  </fonts>
  <fills count="4">
    <fill>
      <patternFill/>
    </fill>
    <fill>
      <patternFill patternType="gray125"/>
    </fill>
    <fill>
      <patternFill patternType="solid">
        <fgColor rgb="00F28C0D"/>
      </patternFill>
    </fill>
    <fill>
      <patternFill patternType="solid">
        <fgColor rgb="00FFF4E2"/>
      </patternFill>
    </fill>
  </fills>
  <borders count="2">
    <border>
      <left/>
      <right/>
      <top/>
      <bottom/>
      <diagonal/>
    </border>
    <border>
      <left style="thin">
        <color rgb="00E7E9EE"/>
      </left>
      <right style="thin">
        <color rgb="00E7E9EE"/>
      </right>
      <top style="thin">
        <color rgb="00E7E9EE"/>
      </top>
      <bottom style="thin">
        <color rgb="00E7E9EE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165" fontId="0" fillId="0" borderId="1" pivotButton="0" quotePrefix="0" xfId="0"/>
    <xf numFmtId="165" fontId="5" fillId="0" borderId="1" pivotButton="0" quotePrefix="0" xfId="0"/>
    <xf numFmtId="3" fontId="0" fillId="0" borderId="1" pivotButton="0" quotePrefix="0" xfId="0"/>
    <xf numFmtId="3" fontId="5" fillId="0" borderId="1" pivotButton="0" quotePrefix="0" xfId="0"/>
    <xf numFmtId="0" fontId="5" fillId="3" borderId="0" pivotButton="0" quotePrefix="0" xfId="0"/>
    <xf numFmtId="164" fontId="5" fillId="3" borderId="0" pivotButton="0" quotePrefix="0" xfId="0"/>
    <xf numFmtId="3" fontId="5" fillId="3" borderId="0" pivotButton="0" quotePrefix="0" xfId="0"/>
    <xf numFmtId="0" fontId="5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3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10" fillId="0" borderId="0" pivotButton="0" quotePrefix="0" xfId="0"/>
    <xf numFmtId="9" fontId="10" fillId="0" borderId="0" pivotButton="0" quotePrefix="0" xfId="0"/>
    <xf numFmtId="0" fontId="11" fillId="2" borderId="1" applyAlignment="1" pivotButton="0" quotePrefix="0" xfId="0">
      <alignment horizontal="center" vertical="center"/>
    </xf>
    <xf numFmtId="0" fontId="12" fillId="0" borderId="1" pivotButton="0" quotePrefix="0" xfId="0"/>
    <xf numFmtId="3" fontId="13" fillId="0" borderId="1" pivotButton="0" quotePrefix="0" xfId="0"/>
    <xf numFmtId="9" fontId="13" fillId="0" borderId="1" pivotButton="0" quotePrefix="0" xfId="0"/>
    <xf numFmtId="0" fontId="12" fillId="3" borderId="1" pivotButton="0" quotePrefix="0" xfId="0"/>
    <xf numFmtId="3" fontId="12" fillId="3" borderId="1" pivotButton="0" quotePrefix="0" xfId="0"/>
    <xf numFmtId="9" fontId="1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Маркет: план / факт / прогноз</a:t>
            </a:r>
          </a:p>
        </rich>
      </tx>
    </title>
    <plotArea>
      <lineChart>
        <grouping val="standard"/>
        <ser>
          <idx val="0"/>
          <order val="0"/>
          <tx>
            <strRef>
              <f>'Маркет (выручка)'!B4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'Маркет (выручка)'!$A$5:$A$16</f>
            </numRef>
          </cat>
          <val>
            <numRef>
              <f>'Маркет (выручка)'!$B$5:$B$16</f>
            </numRef>
          </val>
        </ser>
        <ser>
          <idx val="1"/>
          <order val="1"/>
          <tx>
            <strRef>
              <f>'Маркет (выручка)'!C4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'Маркет (выручка)'!$A$5:$A$16</f>
            </numRef>
          </cat>
          <val>
            <numRef>
              <f>'Маркет (выручка)'!$C$5:$C$16</f>
            </numRef>
          </val>
        </ser>
        <ser>
          <idx val="2"/>
          <order val="2"/>
          <tx>
            <strRef>
              <f>'Маркет (выручка)'!D4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'Маркет (выручка)'!$A$5:$A$16</f>
            </numRef>
          </cat>
          <val>
            <numRef>
              <f>'Маркет (выручка)'!$D$5:$D$16</f>
            </numRef>
          </val>
        </ser>
        <ser>
          <idx val="3"/>
          <order val="3"/>
          <tx>
            <strRef>
              <f>'Маркет (выручка)'!E4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'Маркет (выручка)'!$A$5:$A$16</f>
            </numRef>
          </cat>
          <val>
            <numRef>
              <f>'Маркет (выручка)'!$E$5:$E$16</f>
            </numRef>
          </val>
        </ser>
        <ser>
          <idx val="4"/>
          <order val="4"/>
          <tx>
            <strRef>
              <f>'Маркет (выручка)'!F4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'Маркет (выручка)'!$A$5:$A$16</f>
            </numRef>
          </cat>
          <val>
            <numRef>
              <f>'Маркет (выручка)'!$F$5:$F$16</f>
            </numRef>
          </val>
        </ser>
        <ser>
          <idx val="5"/>
          <order val="5"/>
          <tx>
            <strRef>
              <f>'Маркет (выручка)'!G4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'Маркет (выручка)'!$A$5:$A$16</f>
            </numRef>
          </cat>
          <val>
            <numRef>
              <f>'Маркет (выручка)'!$G$5:$G$16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Маркет: план / факт / прогноз</a:t>
            </a:r>
          </a:p>
        </rich>
      </tx>
    </title>
    <plotArea>
      <lineChart>
        <grouping val="standard"/>
        <ser>
          <idx val="0"/>
          <order val="0"/>
          <tx>
            <strRef>
              <f>'Маркет (оплаты)'!B4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'Маркет (оплаты)'!$A$5:$A$16</f>
            </numRef>
          </cat>
          <val>
            <numRef>
              <f>'Маркет (оплаты)'!$B$5:$B$16</f>
            </numRef>
          </val>
        </ser>
        <ser>
          <idx val="1"/>
          <order val="1"/>
          <tx>
            <strRef>
              <f>'Маркет (оплаты)'!C4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'Маркет (оплаты)'!$A$5:$A$16</f>
            </numRef>
          </cat>
          <val>
            <numRef>
              <f>'Маркет (оплаты)'!$C$5:$C$16</f>
            </numRef>
          </val>
        </ser>
        <ser>
          <idx val="2"/>
          <order val="2"/>
          <tx>
            <strRef>
              <f>'Маркет (оплаты)'!D4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'Маркет (оплаты)'!$A$5:$A$16</f>
            </numRef>
          </cat>
          <val>
            <numRef>
              <f>'Маркет (оплаты)'!$D$5:$D$16</f>
            </numRef>
          </val>
        </ser>
        <ser>
          <idx val="3"/>
          <order val="3"/>
          <tx>
            <strRef>
              <f>'Маркет (оплаты)'!E4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'Маркет (оплаты)'!$A$5:$A$16</f>
            </numRef>
          </cat>
          <val>
            <numRef>
              <f>'Маркет (оплаты)'!$E$5:$E$16</f>
            </numRef>
          </val>
        </ser>
        <ser>
          <idx val="4"/>
          <order val="4"/>
          <tx>
            <strRef>
              <f>'Маркет (оплаты)'!F4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'Маркет (оплаты)'!$A$5:$A$16</f>
            </numRef>
          </cat>
          <val>
            <numRef>
              <f>'Маркет (оплаты)'!$F$5:$F$16</f>
            </numRef>
          </val>
        </ser>
        <ser>
          <idx val="5"/>
          <order val="5"/>
          <tx>
            <strRef>
              <f>'Маркет (оплаты)'!G4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'Маркет (оплаты)'!$A$5:$A$16</f>
            </numRef>
          </cat>
          <val>
            <numRef>
              <f>'Маркет (оплаты)'!$G$5:$G$16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ОФД: план / факт / прогноз</a:t>
            </a:r>
          </a:p>
        </rich>
      </tx>
    </title>
    <plotArea>
      <lineChart>
        <grouping val="standard"/>
        <ser>
          <idx val="0"/>
          <order val="0"/>
          <tx>
            <strRef>
              <f>'ОФД (выручка)'!B4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'ОФД (выручка)'!$A$5:$A$16</f>
            </numRef>
          </cat>
          <val>
            <numRef>
              <f>'ОФД (выручка)'!$B$5:$B$16</f>
            </numRef>
          </val>
        </ser>
        <ser>
          <idx val="1"/>
          <order val="1"/>
          <tx>
            <strRef>
              <f>'ОФД (выручка)'!C4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'ОФД (выручка)'!$A$5:$A$16</f>
            </numRef>
          </cat>
          <val>
            <numRef>
              <f>'ОФД (выручка)'!$C$5:$C$16</f>
            </numRef>
          </val>
        </ser>
        <ser>
          <idx val="2"/>
          <order val="2"/>
          <tx>
            <strRef>
              <f>'ОФД (выручка)'!D4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'ОФД (выручка)'!$A$5:$A$16</f>
            </numRef>
          </cat>
          <val>
            <numRef>
              <f>'ОФД (выручка)'!$D$5:$D$16</f>
            </numRef>
          </val>
        </ser>
        <ser>
          <idx val="3"/>
          <order val="3"/>
          <tx>
            <strRef>
              <f>'ОФД (выручка)'!E4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'ОФД (выручка)'!$A$5:$A$16</f>
            </numRef>
          </cat>
          <val>
            <numRef>
              <f>'ОФД (выручка)'!$E$5:$E$16</f>
            </numRef>
          </val>
        </ser>
        <ser>
          <idx val="4"/>
          <order val="4"/>
          <tx>
            <strRef>
              <f>'ОФД (выручка)'!F4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'ОФД (выручка)'!$A$5:$A$16</f>
            </numRef>
          </cat>
          <val>
            <numRef>
              <f>'ОФД (выручка)'!$F$5:$F$16</f>
            </numRef>
          </val>
        </ser>
        <ser>
          <idx val="5"/>
          <order val="5"/>
          <tx>
            <strRef>
              <f>'ОФД (выручка)'!G4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'ОФД (выручка)'!$A$5:$A$16</f>
            </numRef>
          </cat>
          <val>
            <numRef>
              <f>'ОФД (выручка)'!$G$5:$G$16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ОФД: план / факт / прогноз</a:t>
            </a:r>
          </a:p>
        </rich>
      </tx>
    </title>
    <plotArea>
      <lineChart>
        <grouping val="standard"/>
        <ser>
          <idx val="0"/>
          <order val="0"/>
          <tx>
            <strRef>
              <f>'ОФД (оплаты)'!B4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'ОФД (оплаты)'!$A$5:$A$16</f>
            </numRef>
          </cat>
          <val>
            <numRef>
              <f>'ОФД (оплаты)'!$B$5:$B$16</f>
            </numRef>
          </val>
        </ser>
        <ser>
          <idx val="1"/>
          <order val="1"/>
          <tx>
            <strRef>
              <f>'ОФД (оплаты)'!C4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'ОФД (оплаты)'!$A$5:$A$16</f>
            </numRef>
          </cat>
          <val>
            <numRef>
              <f>'ОФД (оплаты)'!$C$5:$C$16</f>
            </numRef>
          </val>
        </ser>
        <ser>
          <idx val="2"/>
          <order val="2"/>
          <tx>
            <strRef>
              <f>'ОФД (оплаты)'!D4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'ОФД (оплаты)'!$A$5:$A$16</f>
            </numRef>
          </cat>
          <val>
            <numRef>
              <f>'ОФД (оплаты)'!$D$5:$D$16</f>
            </numRef>
          </val>
        </ser>
        <ser>
          <idx val="3"/>
          <order val="3"/>
          <tx>
            <strRef>
              <f>'ОФД (оплаты)'!E4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'ОФД (оплаты)'!$A$5:$A$16</f>
            </numRef>
          </cat>
          <val>
            <numRef>
              <f>'ОФД (оплаты)'!$E$5:$E$16</f>
            </numRef>
          </val>
        </ser>
        <ser>
          <idx val="4"/>
          <order val="4"/>
          <tx>
            <strRef>
              <f>'ОФД (оплаты)'!F4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'ОФД (оплаты)'!$A$5:$A$16</f>
            </numRef>
          </cat>
          <val>
            <numRef>
              <f>'ОФД (оплаты)'!$F$5:$F$16</f>
            </numRef>
          </val>
        </ser>
        <ser>
          <idx val="5"/>
          <order val="5"/>
          <tx>
            <strRef>
              <f>'ОФД (оплаты)'!G4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'ОФД (оплаты)'!$A$5:$A$16</f>
            </numRef>
          </cat>
          <val>
            <numRef>
              <f>'ОФД (оплаты)'!$G$5:$G$16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Прогноз выполнения плана 2026 — Маркет и ОФД</t>
        </is>
      </c>
    </row>
    <row r="2">
      <c r="A2" s="2" t="inlineStr">
        <is>
          <t>Факт по Май включительно · модели: plan-pacing, сезонный YoY, ETS (statsmodels), регрессия (sklearn) · ансамбль и сценарии низ/база/верх</t>
        </is>
      </c>
    </row>
    <row r="4">
      <c r="A4" s="3" t="inlineStr">
        <is>
          <t>ВЫРУЧКА, ₽</t>
        </is>
      </c>
    </row>
    <row r="5">
      <c r="A5" s="4" t="inlineStr">
        <is>
          <t>Продукт / показатель</t>
        </is>
      </c>
      <c r="B5" s="4" t="inlineStr">
        <is>
          <t>Маркет</t>
        </is>
      </c>
      <c r="C5" s="4" t="inlineStr">
        <is>
          <t>ОФД</t>
        </is>
      </c>
    </row>
    <row r="6">
      <c r="A6" s="5" t="inlineStr">
        <is>
          <t>Годовой план</t>
        </is>
      </c>
      <c r="B6" s="6" t="n">
        <v>119039603</v>
      </c>
      <c r="C6" s="6" t="n">
        <v>37544672.43728799</v>
      </c>
    </row>
    <row r="7">
      <c r="A7" s="5" t="inlineStr">
        <is>
          <t>План YTD (янв–май)</t>
        </is>
      </c>
      <c r="B7" s="6" t="n">
        <v>49034607</v>
      </c>
      <c r="C7" s="6" t="n">
        <v>15306086.82974042</v>
      </c>
    </row>
    <row r="8">
      <c r="A8" s="7" t="inlineStr">
        <is>
          <t>Факт YTD (янв–май)</t>
        </is>
      </c>
      <c r="B8" s="8" t="n">
        <v>44473700</v>
      </c>
      <c r="C8" s="8" t="n">
        <v>18897934.4</v>
      </c>
    </row>
    <row r="9">
      <c r="A9" s="5" t="inlineStr">
        <is>
          <t>Выполнение YTD, %</t>
        </is>
      </c>
      <c r="B9" s="9" t="n">
        <v>0.906985957897042</v>
      </c>
      <c r="C9" s="9" t="n">
        <v>1.234667920691555</v>
      </c>
    </row>
    <row r="10">
      <c r="A10" s="5" t="inlineStr">
        <is>
          <t>YoY к 2025, %</t>
        </is>
      </c>
      <c r="B10" s="9" t="n">
        <v>-0.2083540165606678</v>
      </c>
      <c r="C10" s="9" t="n">
        <v>-0.1571918488066785</v>
      </c>
    </row>
    <row r="11">
      <c r="A11" s="5" t="inlineStr">
        <is>
          <t>Прогноз года — НИЗ</t>
        </is>
      </c>
      <c r="B11" s="6" t="n">
        <v>93076114.69332391</v>
      </c>
      <c r="C11" s="6" t="n">
        <v>38625598.4183249</v>
      </c>
    </row>
    <row r="12">
      <c r="A12" s="7" t="inlineStr">
        <is>
          <t>Прогноз года — БАЗА</t>
        </is>
      </c>
      <c r="B12" s="8" t="n">
        <v>101995713.5958934</v>
      </c>
      <c r="C12" s="8" t="n">
        <v>43317847.53680471</v>
      </c>
    </row>
    <row r="13">
      <c r="A13" s="5" t="inlineStr">
        <is>
          <t>Прогноз года — ВЕРХ</t>
        </is>
      </c>
      <c r="B13" s="6" t="n">
        <v>108426695.0560018</v>
      </c>
      <c r="C13" s="6" t="n">
        <v>46488369.60313693</v>
      </c>
    </row>
    <row r="14">
      <c r="A14" s="5" t="inlineStr">
        <is>
          <t>Выполнение плана — НИЗ, %</t>
        </is>
      </c>
      <c r="B14" s="9" t="n">
        <v>0.7818920119661682</v>
      </c>
      <c r="C14" s="9" t="n">
        <v>1.028790395836917</v>
      </c>
    </row>
    <row r="15">
      <c r="A15" s="7" t="inlineStr">
        <is>
          <t>Выполнение плана — БАЗА, %</t>
        </is>
      </c>
      <c r="B15" s="10" t="n">
        <v>0.8568216881225098</v>
      </c>
      <c r="C15" s="10" t="n">
        <v>1.153768157364</v>
      </c>
    </row>
    <row r="16">
      <c r="A16" s="5" t="inlineStr">
        <is>
          <t>Выполнение плана — ВЕРХ, %</t>
        </is>
      </c>
      <c r="B16" s="9" t="n">
        <v>0.9108455700747073</v>
      </c>
      <c r="C16" s="9" t="n">
        <v>1.238214814120109</v>
      </c>
    </row>
    <row r="17">
      <c r="A17" s="7" t="inlineStr">
        <is>
          <t>Вывод (база)</t>
        </is>
      </c>
      <c r="B17" s="5" t="inlineStr">
        <is>
          <t>недовыполнение</t>
        </is>
      </c>
      <c r="C17" s="5" t="inlineStr">
        <is>
          <t>план будет выполнен</t>
        </is>
      </c>
    </row>
    <row r="19">
      <c r="A19" s="3" t="inlineStr">
        <is>
          <t>ОПЛАТЫ, шт</t>
        </is>
      </c>
    </row>
    <row r="20">
      <c r="A20" s="4" t="inlineStr">
        <is>
          <t>Продукт / показатель</t>
        </is>
      </c>
      <c r="B20" s="4" t="inlineStr">
        <is>
          <t>Маркет</t>
        </is>
      </c>
      <c r="C20" s="4" t="inlineStr">
        <is>
          <t>ОФД</t>
        </is>
      </c>
    </row>
    <row r="21">
      <c r="A21" s="5" t="inlineStr">
        <is>
          <t>Годовой план</t>
        </is>
      </c>
      <c r="B21" s="11" t="n">
        <v>6399</v>
      </c>
      <c r="C21" s="11" t="n">
        <v>7375.265327374596</v>
      </c>
    </row>
    <row r="22">
      <c r="A22" s="5" t="inlineStr">
        <is>
          <t>План YTD (янв–май)</t>
        </is>
      </c>
      <c r="B22" s="11" t="n">
        <v>2737</v>
      </c>
      <c r="C22" s="11" t="n">
        <v>3008.397945204254</v>
      </c>
    </row>
    <row r="23">
      <c r="A23" s="7" t="inlineStr">
        <is>
          <t>Факт YTD (янв–май)</t>
        </is>
      </c>
      <c r="B23" s="12" t="n">
        <v>2458</v>
      </c>
      <c r="C23" s="12" t="n">
        <v>3187</v>
      </c>
    </row>
    <row r="24">
      <c r="A24" s="5" t="inlineStr">
        <is>
          <t>Выполнение YTD, %</t>
        </is>
      </c>
      <c r="B24" s="9" t="n">
        <v>0.8980635732553891</v>
      </c>
      <c r="C24" s="9" t="n">
        <v>1.05936782900695</v>
      </c>
    </row>
    <row r="25">
      <c r="A25" s="5" t="inlineStr">
        <is>
          <t>YoY к 2025, %</t>
        </is>
      </c>
      <c r="B25" s="9" t="n">
        <v>-0.3168426903835464</v>
      </c>
      <c r="C25" s="9" t="n">
        <v>-0.2738664843928002</v>
      </c>
    </row>
    <row r="26">
      <c r="A26" s="5" t="inlineStr">
        <is>
          <t>Прогноз года — НИЗ</t>
        </is>
      </c>
      <c r="B26" s="11" t="n">
        <v>4749.035887506989</v>
      </c>
      <c r="C26" s="11" t="n">
        <v>5959.11800642271</v>
      </c>
    </row>
    <row r="27">
      <c r="A27" s="7" t="inlineStr">
        <is>
          <t>Прогноз года — БАЗА</t>
        </is>
      </c>
      <c r="B27" s="12" t="n">
        <v>5370.971244904632</v>
      </c>
      <c r="C27" s="12" t="n">
        <v>7082.243156846213</v>
      </c>
    </row>
    <row r="28">
      <c r="A28" s="5" t="inlineStr">
        <is>
          <t>Прогноз года — ВЕРХ</t>
        </is>
      </c>
      <c r="B28" s="11" t="n">
        <v>5801.397388070602</v>
      </c>
      <c r="C28" s="11" t="n">
        <v>7813.118818211061</v>
      </c>
    </row>
    <row r="29">
      <c r="A29" s="5" t="inlineStr">
        <is>
          <t>Выполнение плана — НИЗ, %</t>
        </is>
      </c>
      <c r="B29" s="9" t="n">
        <v>0.7421528188009048</v>
      </c>
      <c r="C29" s="9" t="n">
        <v>0.8079869322537312</v>
      </c>
    </row>
    <row r="30">
      <c r="A30" s="7" t="inlineStr">
        <is>
          <t>Выполнение плана — БАЗА, %</t>
        </is>
      </c>
      <c r="B30" s="10" t="n">
        <v>0.8393454047358389</v>
      </c>
      <c r="C30" s="10" t="n">
        <v>0.9602696096314284</v>
      </c>
    </row>
    <row r="31">
      <c r="A31" s="5" t="inlineStr">
        <is>
          <t>Выполнение плана — ВЕРХ, %</t>
        </is>
      </c>
      <c r="B31" s="9" t="n">
        <v>0.9066099996984844</v>
      </c>
      <c r="C31" s="9" t="n">
        <v>1.05936782900695</v>
      </c>
    </row>
    <row r="32">
      <c r="A32" s="7" t="inlineStr">
        <is>
          <t>Вывод (база)</t>
        </is>
      </c>
      <c r="B32" s="5" t="inlineStr">
        <is>
          <t>существенный недобор</t>
        </is>
      </c>
      <c r="C32" s="5" t="inlineStr">
        <is>
          <t>на грани плана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Маркет — выручка 2026, помесячно</t>
        </is>
      </c>
    </row>
    <row r="2">
      <c r="A2" s="2" t="inlineStr">
        <is>
          <t>Проекты Продукт = Маркет · Подключение · Онлайн (дашборд) · факт по Май, далее прогноз (база) и коридор низ/верх</t>
        </is>
      </c>
    </row>
    <row r="4">
      <c r="A4" s="4" t="inlineStr">
        <is>
          <t>Месяц</t>
        </is>
      </c>
      <c r="B4" s="4" t="inlineStr">
        <is>
          <t>План 2026</t>
        </is>
      </c>
      <c r="C4" s="4" t="inlineStr">
        <is>
          <t>Факт 2025</t>
        </is>
      </c>
      <c r="D4" s="4" t="inlineStr">
        <is>
          <t>Факт 2026</t>
        </is>
      </c>
      <c r="E4" s="4" t="inlineStr">
        <is>
          <t>Прогноз база</t>
        </is>
      </c>
      <c r="F4" s="4" t="inlineStr">
        <is>
          <t>Прогноз низ</t>
        </is>
      </c>
      <c r="G4" s="4" t="inlineStr">
        <is>
          <t>Прогноз верх</t>
        </is>
      </c>
    </row>
    <row r="5">
      <c r="A5" s="5" t="inlineStr">
        <is>
          <t>Январь</t>
        </is>
      </c>
      <c r="B5" s="6" t="n">
        <v>9780158</v>
      </c>
      <c r="C5" s="6" t="n">
        <v>10566339</v>
      </c>
      <c r="D5" s="6" t="n">
        <v>8241025</v>
      </c>
      <c r="E5" s="6" t="n"/>
      <c r="F5" s="6" t="n"/>
      <c r="G5" s="6" t="n"/>
    </row>
    <row r="6">
      <c r="A6" s="5" t="inlineStr">
        <is>
          <t>Февраль</t>
        </is>
      </c>
      <c r="B6" s="6" t="n">
        <v>9456800</v>
      </c>
      <c r="C6" s="6" t="n">
        <v>10162594</v>
      </c>
      <c r="D6" s="6" t="n">
        <v>9199025</v>
      </c>
      <c r="E6" s="6" t="n"/>
      <c r="F6" s="6" t="n"/>
      <c r="G6" s="6" t="n"/>
    </row>
    <row r="7">
      <c r="A7" s="5" t="inlineStr">
        <is>
          <t>Март</t>
        </is>
      </c>
      <c r="B7" s="6" t="n">
        <v>10981834</v>
      </c>
      <c r="C7" s="6" t="n">
        <v>11323288</v>
      </c>
      <c r="D7" s="6" t="n">
        <v>10261583</v>
      </c>
      <c r="E7" s="6" t="n"/>
      <c r="F7" s="6" t="n"/>
      <c r="G7" s="6" t="n"/>
    </row>
    <row r="8">
      <c r="A8" s="5" t="inlineStr">
        <is>
          <t>Апрель</t>
        </is>
      </c>
      <c r="B8" s="6" t="n">
        <v>10450826</v>
      </c>
      <c r="C8" s="6" t="n">
        <v>14129486</v>
      </c>
      <c r="D8" s="6" t="n">
        <v>8993089</v>
      </c>
      <c r="E8" s="6" t="n"/>
      <c r="F8" s="6" t="n"/>
      <c r="G8" s="6" t="n"/>
    </row>
    <row r="9">
      <c r="A9" s="5" t="inlineStr">
        <is>
          <t>Май</t>
        </is>
      </c>
      <c r="B9" s="6" t="n">
        <v>8364989</v>
      </c>
      <c r="C9" s="6" t="n">
        <v>9997066</v>
      </c>
      <c r="D9" s="6" t="n">
        <v>7778978</v>
      </c>
      <c r="E9" s="6" t="n"/>
      <c r="F9" s="6" t="n"/>
      <c r="G9" s="6" t="n"/>
    </row>
    <row r="10">
      <c r="A10" s="5" t="inlineStr">
        <is>
          <t>Июнь</t>
        </is>
      </c>
      <c r="B10" s="6" t="n">
        <v>10320988</v>
      </c>
      <c r="C10" s="6" t="n">
        <v>11423141</v>
      </c>
      <c r="D10" s="6" t="n"/>
      <c r="E10" s="6" t="n">
        <v>9101776.480453128</v>
      </c>
      <c r="F10" s="6" t="n">
        <v>8534558.684505247</v>
      </c>
      <c r="G10" s="6" t="n">
        <v>9360991.187623875</v>
      </c>
    </row>
    <row r="11">
      <c r="A11" s="5" t="inlineStr">
        <is>
          <t>Июль</t>
        </is>
      </c>
      <c r="B11" s="6" t="n">
        <v>10125275</v>
      </c>
      <c r="C11" s="6" t="n">
        <v>9919931</v>
      </c>
      <c r="D11" s="6" t="n"/>
      <c r="E11" s="6" t="n">
        <v>8417917.967619848</v>
      </c>
      <c r="F11" s="6" t="n">
        <v>7578916.400000003</v>
      </c>
      <c r="G11" s="6" t="n">
        <v>9183482.244845971</v>
      </c>
    </row>
    <row r="12">
      <c r="A12" s="5" t="inlineStr">
        <is>
          <t>Август</t>
        </is>
      </c>
      <c r="B12" s="6" t="n">
        <v>9011271</v>
      </c>
      <c r="C12" s="6" t="n">
        <v>7919160</v>
      </c>
      <c r="D12" s="6" t="n"/>
      <c r="E12" s="6" t="n">
        <v>7203853.966861567</v>
      </c>
      <c r="F12" s="6" t="n">
        <v>5578145.400000005</v>
      </c>
      <c r="G12" s="6" t="n">
        <v>8344623.875908504</v>
      </c>
    </row>
    <row r="13">
      <c r="A13" s="5" t="inlineStr">
        <is>
          <t>Сентябрь</t>
        </is>
      </c>
      <c r="B13" s="6" t="n">
        <v>8788064</v>
      </c>
      <c r="C13" s="6" t="n">
        <v>9186864</v>
      </c>
      <c r="D13" s="6" t="n"/>
      <c r="E13" s="6" t="n">
        <v>7614401.594095069</v>
      </c>
      <c r="F13" s="6" t="n">
        <v>6845849.400000002</v>
      </c>
      <c r="G13" s="6" t="n">
        <v>8258569.730360099</v>
      </c>
    </row>
    <row r="14">
      <c r="A14" s="5" t="inlineStr">
        <is>
          <t>Октябрь</t>
        </is>
      </c>
      <c r="B14" s="6" t="n">
        <v>9948492</v>
      </c>
      <c r="C14" s="6" t="n">
        <v>8738891</v>
      </c>
      <c r="D14" s="6" t="n"/>
      <c r="E14" s="6" t="n">
        <v>7845053.186182311</v>
      </c>
      <c r="F14" s="6" t="n">
        <v>6397876.400000004</v>
      </c>
      <c r="G14" s="6" t="n">
        <v>9023142.546251059</v>
      </c>
    </row>
    <row r="15">
      <c r="A15" s="5" t="inlineStr">
        <is>
          <t>Ноябрь</t>
        </is>
      </c>
      <c r="B15" s="6" t="n">
        <v>9708061</v>
      </c>
      <c r="C15" s="6" t="n">
        <v>7976369</v>
      </c>
      <c r="D15" s="6" t="n"/>
      <c r="E15" s="6" t="n">
        <v>7443083.243262713</v>
      </c>
      <c r="F15" s="6" t="n">
        <v>5635354.400000005</v>
      </c>
      <c r="G15" s="6" t="n">
        <v>8805075.005407915</v>
      </c>
    </row>
    <row r="16">
      <c r="A16" s="5" t="inlineStr">
        <is>
          <t>Декабрь</t>
        </is>
      </c>
      <c r="B16" s="6" t="n">
        <v>12102845</v>
      </c>
      <c r="C16" s="6" t="n">
        <v>11983893</v>
      </c>
      <c r="D16" s="6" t="n"/>
      <c r="E16" s="6" t="n">
        <v>9895927.157418748</v>
      </c>
      <c r="F16" s="6" t="n">
        <v>8031714.008818635</v>
      </c>
      <c r="G16" s="6" t="n">
        <v>10977110.46560442</v>
      </c>
    </row>
    <row r="17">
      <c r="A17" s="13" t="inlineStr">
        <is>
          <t>ИТОГО год</t>
        </is>
      </c>
      <c r="B17" s="14" t="n">
        <v>119039603</v>
      </c>
      <c r="C17" s="13" t="n"/>
      <c r="D17" s="14" t="n">
        <v>44473700</v>
      </c>
      <c r="E17" s="14" t="n">
        <v>101995713.5958934</v>
      </c>
      <c r="F17" s="14" t="n">
        <v>93076114.69332391</v>
      </c>
      <c r="G17" s="14" t="n">
        <v>108426695.0560018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Маркет — оплаты 2026, помесячно</t>
        </is>
      </c>
    </row>
    <row r="2">
      <c r="A2" s="2" t="inlineStr">
        <is>
          <t>Проекты Продукт = Маркет · Подключение · Онлайн (дашборд) · факт по Май, далее прогноз (база) и коридор низ/верх</t>
        </is>
      </c>
    </row>
    <row r="4">
      <c r="A4" s="4" t="inlineStr">
        <is>
          <t>Месяц</t>
        </is>
      </c>
      <c r="B4" s="4" t="inlineStr">
        <is>
          <t>План 2026</t>
        </is>
      </c>
      <c r="C4" s="4" t="inlineStr">
        <is>
          <t>Факт 2025</t>
        </is>
      </c>
      <c r="D4" s="4" t="inlineStr">
        <is>
          <t>Факт 2026</t>
        </is>
      </c>
      <c r="E4" s="4" t="inlineStr">
        <is>
          <t>Прогноз база</t>
        </is>
      </c>
      <c r="F4" s="4" t="inlineStr">
        <is>
          <t>Прогноз низ</t>
        </is>
      </c>
      <c r="G4" s="4" t="inlineStr">
        <is>
          <t>Прогноз верх</t>
        </is>
      </c>
    </row>
    <row r="5">
      <c r="A5" s="5" t="inlineStr">
        <is>
          <t>Январь</t>
        </is>
      </c>
      <c r="B5" s="11" t="n">
        <v>617</v>
      </c>
      <c r="C5" s="11" t="n">
        <v>752</v>
      </c>
      <c r="D5" s="11" t="n">
        <v>477</v>
      </c>
      <c r="E5" s="11" t="n"/>
      <c r="F5" s="11" t="n"/>
      <c r="G5" s="11" t="n"/>
    </row>
    <row r="6">
      <c r="A6" s="5" t="inlineStr">
        <is>
          <t>Февраль</t>
        </is>
      </c>
      <c r="B6" s="11" t="n">
        <v>532</v>
      </c>
      <c r="C6" s="11" t="n">
        <v>644</v>
      </c>
      <c r="D6" s="11" t="n">
        <v>501</v>
      </c>
      <c r="E6" s="11" t="n"/>
      <c r="F6" s="11" t="n"/>
      <c r="G6" s="11" t="n"/>
    </row>
    <row r="7">
      <c r="A7" s="5" t="inlineStr">
        <is>
          <t>Март</t>
        </is>
      </c>
      <c r="B7" s="11" t="n">
        <v>600</v>
      </c>
      <c r="C7" s="11" t="n">
        <v>706</v>
      </c>
      <c r="D7" s="11" t="n">
        <v>600</v>
      </c>
      <c r="E7" s="11" t="n"/>
      <c r="F7" s="11" t="n"/>
      <c r="G7" s="11" t="n"/>
    </row>
    <row r="8">
      <c r="A8" s="5" t="inlineStr">
        <is>
          <t>Апрель</t>
        </is>
      </c>
      <c r="B8" s="11" t="n">
        <v>576</v>
      </c>
      <c r="C8" s="11" t="n">
        <v>883</v>
      </c>
      <c r="D8" s="11" t="n">
        <v>477</v>
      </c>
      <c r="E8" s="11" t="n"/>
      <c r="F8" s="11" t="n"/>
      <c r="G8" s="11" t="n"/>
    </row>
    <row r="9">
      <c r="A9" s="5" t="inlineStr">
        <is>
          <t>Май</t>
        </is>
      </c>
      <c r="B9" s="11" t="n">
        <v>412</v>
      </c>
      <c r="C9" s="11" t="n">
        <v>613</v>
      </c>
      <c r="D9" s="11" t="n">
        <v>403</v>
      </c>
      <c r="E9" s="11" t="n"/>
      <c r="F9" s="11" t="n"/>
      <c r="G9" s="11" t="n"/>
    </row>
    <row r="10">
      <c r="A10" s="5" t="inlineStr">
        <is>
          <t>Июнь</t>
        </is>
      </c>
      <c r="B10" s="11" t="n">
        <v>526</v>
      </c>
      <c r="C10" s="11" t="n">
        <v>700</v>
      </c>
      <c r="D10" s="11" t="n"/>
      <c r="E10" s="11" t="n">
        <v>472.1624872282246</v>
      </c>
      <c r="F10" s="11" t="n">
        <v>461.7158815494085</v>
      </c>
      <c r="G10" s="11" t="n">
        <v>478.2101167315175</v>
      </c>
    </row>
    <row r="11">
      <c r="A11" s="5" t="inlineStr">
        <is>
          <t>Июль</t>
        </is>
      </c>
      <c r="B11" s="11" t="n">
        <v>562</v>
      </c>
      <c r="C11" s="11" t="n">
        <v>584</v>
      </c>
      <c r="D11" s="11" t="n"/>
      <c r="E11" s="11" t="n">
        <v>440.9630121903972</v>
      </c>
      <c r="F11" s="11" t="n">
        <v>356.0000000000001</v>
      </c>
      <c r="G11" s="11" t="n">
        <v>504.7117281695287</v>
      </c>
    </row>
    <row r="12">
      <c r="A12" s="5" t="inlineStr">
        <is>
          <t>Август</t>
        </is>
      </c>
      <c r="B12" s="11" t="n">
        <v>458</v>
      </c>
      <c r="C12" s="11" t="n">
        <v>458</v>
      </c>
      <c r="D12" s="11" t="n"/>
      <c r="E12" s="11" t="n">
        <v>355.8579974503227</v>
      </c>
      <c r="F12" s="11" t="n">
        <v>230.0000000000003</v>
      </c>
      <c r="G12" s="11" t="n">
        <v>447.4082591923428</v>
      </c>
    </row>
    <row r="13">
      <c r="A13" s="5" t="inlineStr">
        <is>
          <t>Сентябрь</t>
        </is>
      </c>
      <c r="B13" s="11" t="n">
        <v>477</v>
      </c>
      <c r="C13" s="11" t="n">
        <v>517</v>
      </c>
      <c r="D13" s="11" t="n"/>
      <c r="E13" s="11" t="n">
        <v>383.6197751567994</v>
      </c>
      <c r="F13" s="11" t="n">
        <v>288.9999999999999</v>
      </c>
      <c r="G13" s="11" t="n">
        <v>441.14108741163</v>
      </c>
    </row>
    <row r="14">
      <c r="A14" s="5" t="inlineStr">
        <is>
          <t>Октябрь</t>
        </is>
      </c>
      <c r="B14" s="11" t="n">
        <v>559</v>
      </c>
      <c r="C14" s="11" t="n">
        <v>529</v>
      </c>
      <c r="D14" s="11" t="n"/>
      <c r="E14" s="11" t="n">
        <v>416.6644812727669</v>
      </c>
      <c r="F14" s="11" t="n">
        <v>301.0000000000001</v>
      </c>
      <c r="G14" s="11" t="n">
        <v>502.0175374497625</v>
      </c>
    </row>
    <row r="15">
      <c r="A15" s="5" t="inlineStr">
        <is>
          <t>Ноябрь</t>
        </is>
      </c>
      <c r="B15" s="11" t="n">
        <v>489</v>
      </c>
      <c r="C15" s="11" t="n">
        <v>456</v>
      </c>
      <c r="D15" s="11" t="n"/>
      <c r="E15" s="11" t="n">
        <v>363.6620446519421</v>
      </c>
      <c r="F15" s="11" t="n">
        <v>228.0000000000002</v>
      </c>
      <c r="G15" s="11" t="n">
        <v>439.1530873218853</v>
      </c>
    </row>
    <row r="16">
      <c r="A16" s="5" t="inlineStr">
        <is>
          <t>Декабрь</t>
        </is>
      </c>
      <c r="B16" s="11" t="n">
        <v>591</v>
      </c>
      <c r="C16" s="11" t="n">
        <v>673</v>
      </c>
      <c r="D16" s="11" t="n"/>
      <c r="E16" s="11" t="n">
        <v>480.0414469541792</v>
      </c>
      <c r="F16" s="11" t="n">
        <v>425.3200059575791</v>
      </c>
      <c r="G16" s="11" t="n">
        <v>530.7555717939349</v>
      </c>
    </row>
    <row r="17">
      <c r="A17" s="13" t="inlineStr">
        <is>
          <t>ИТОГО год</t>
        </is>
      </c>
      <c r="B17" s="15" t="n">
        <v>6399</v>
      </c>
      <c r="C17" s="13" t="n"/>
      <c r="D17" s="15" t="n">
        <v>2458</v>
      </c>
      <c r="E17" s="15" t="n">
        <v>5370.971244904632</v>
      </c>
      <c r="F17" s="15" t="n">
        <v>4749.035887506989</v>
      </c>
      <c r="G17" s="15" t="n">
        <v>5801.397388070602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6" customWidth="1" min="4" max="4"/>
    <col width="8" customWidth="1" min="5" max="5"/>
  </cols>
  <sheetData>
    <row r="1">
      <c r="A1" s="21" t="inlineStr">
        <is>
          <t>Маркет — лиды 2026, помесячно (прогноз)</t>
        </is>
      </c>
    </row>
    <row r="2">
      <c r="A2" s="22" t="inlineStr">
        <is>
          <t>Источник: ГЭП-анализ · CR2 лид→оплата = 36%</t>
        </is>
      </c>
    </row>
    <row r="4">
      <c r="A4" s="23" t="inlineStr">
        <is>
          <t>Годовой прогноз</t>
        </is>
      </c>
    </row>
    <row r="5">
      <c r="A5" s="24" t="inlineStr">
        <is>
          <t>Лиды прогноз</t>
        </is>
      </c>
      <c r="B5" s="24" t="inlineStr">
        <is>
          <t>Нужно лидов для плана</t>
        </is>
      </c>
      <c r="C5" s="24" t="inlineStr">
        <is>
          <t>Выполнение по лидам</t>
        </is>
      </c>
      <c r="D5" s="24" t="inlineStr">
        <is>
          <t>Оплаты прогноз</t>
        </is>
      </c>
      <c r="E5" s="24" t="inlineStr">
        <is>
          <t>CR2</t>
        </is>
      </c>
    </row>
    <row r="6">
      <c r="A6" s="25" t="n">
        <v>20471</v>
      </c>
      <c r="B6" s="25" t="n">
        <v>23758</v>
      </c>
      <c r="C6" s="26" t="n">
        <v>0.8616466032494318</v>
      </c>
      <c r="D6" s="25" t="n">
        <v>7310</v>
      </c>
      <c r="E6" s="26" t="n">
        <v>0.36</v>
      </c>
    </row>
    <row r="8">
      <c r="A8" s="27" t="inlineStr">
        <is>
          <t>Месяц</t>
        </is>
      </c>
      <c r="B8" s="27" t="inlineStr">
        <is>
          <t>Лиды (прогноз)</t>
        </is>
      </c>
      <c r="C8" s="27" t="inlineStr">
        <is>
          <t>Нужно лидов для плана</t>
        </is>
      </c>
      <c r="D8" s="27" t="inlineStr">
        <is>
          <t>Оплаты (прогноз)</t>
        </is>
      </c>
      <c r="E8" s="27" t="inlineStr">
        <is>
          <t>CR2</t>
        </is>
      </c>
    </row>
    <row r="9">
      <c r="A9" s="28" t="inlineStr">
        <is>
          <t>Январь</t>
        </is>
      </c>
      <c r="B9" s="29" t="n">
        <v>1647</v>
      </c>
      <c r="C9" s="29" t="n">
        <v>1812</v>
      </c>
      <c r="D9" s="29" t="n">
        <v>573</v>
      </c>
      <c r="E9" s="30" t="n">
        <v>0.36</v>
      </c>
    </row>
    <row r="10">
      <c r="A10" s="28" t="inlineStr">
        <is>
          <t>Февраль</t>
        </is>
      </c>
      <c r="B10" s="29" t="n">
        <v>1736</v>
      </c>
      <c r="C10" s="29" t="n">
        <v>1910</v>
      </c>
      <c r="D10" s="29" t="n">
        <v>605</v>
      </c>
      <c r="E10" s="30" t="n">
        <v>0.36</v>
      </c>
    </row>
    <row r="11">
      <c r="A11" s="28" t="inlineStr">
        <is>
          <t>Март</t>
        </is>
      </c>
      <c r="B11" s="29" t="n">
        <v>1881</v>
      </c>
      <c r="C11" s="29" t="n">
        <v>2069</v>
      </c>
      <c r="D11" s="29" t="n">
        <v>657</v>
      </c>
      <c r="E11" s="30" t="n">
        <v>0.36</v>
      </c>
    </row>
    <row r="12">
      <c r="A12" s="28" t="inlineStr">
        <is>
          <t>Апрель</t>
        </is>
      </c>
      <c r="B12" s="29" t="n">
        <v>1822</v>
      </c>
      <c r="C12" s="29" t="n">
        <v>2004</v>
      </c>
      <c r="D12" s="29" t="n">
        <v>656</v>
      </c>
      <c r="E12" s="30" t="n">
        <v>0.36</v>
      </c>
    </row>
    <row r="13">
      <c r="A13" s="28" t="inlineStr">
        <is>
          <t>Май</t>
        </is>
      </c>
      <c r="B13" s="29" t="n">
        <v>1772</v>
      </c>
      <c r="C13" s="29" t="n">
        <v>2215</v>
      </c>
      <c r="D13" s="29" t="n">
        <v>638</v>
      </c>
      <c r="E13" s="30" t="n">
        <v>0.36</v>
      </c>
    </row>
    <row r="14">
      <c r="A14" s="28" t="inlineStr">
        <is>
          <t>Июнь</t>
        </is>
      </c>
      <c r="B14" s="29" t="n">
        <v>1594</v>
      </c>
      <c r="C14" s="29" t="n">
        <v>1993</v>
      </c>
      <c r="D14" s="29" t="n">
        <v>574</v>
      </c>
      <c r="E14" s="30" t="n">
        <v>0.36</v>
      </c>
    </row>
    <row r="15">
      <c r="A15" s="28" t="inlineStr">
        <is>
          <t>Июль</t>
        </is>
      </c>
      <c r="B15" s="29" t="n">
        <v>1611</v>
      </c>
      <c r="C15" s="29" t="n">
        <v>2014</v>
      </c>
      <c r="D15" s="29" t="n">
        <v>580</v>
      </c>
      <c r="E15" s="30" t="n">
        <v>0.36</v>
      </c>
    </row>
    <row r="16">
      <c r="A16" s="28" t="inlineStr">
        <is>
          <t>Август</t>
        </is>
      </c>
      <c r="B16" s="29" t="n">
        <v>1631</v>
      </c>
      <c r="C16" s="29" t="n">
        <v>1794</v>
      </c>
      <c r="D16" s="29" t="n">
        <v>587</v>
      </c>
      <c r="E16" s="30" t="n">
        <v>0.36</v>
      </c>
    </row>
    <row r="17">
      <c r="A17" s="28" t="inlineStr">
        <is>
          <t>Сентябрь</t>
        </is>
      </c>
      <c r="B17" s="29" t="n">
        <v>1586</v>
      </c>
      <c r="C17" s="29" t="n">
        <v>1745</v>
      </c>
      <c r="D17" s="29" t="n">
        <v>571</v>
      </c>
      <c r="E17" s="30" t="n">
        <v>0.36</v>
      </c>
    </row>
    <row r="18">
      <c r="A18" s="28" t="inlineStr">
        <is>
          <t>Октябрь</t>
        </is>
      </c>
      <c r="B18" s="29" t="n">
        <v>1719</v>
      </c>
      <c r="C18" s="29" t="n">
        <v>1891</v>
      </c>
      <c r="D18" s="29" t="n">
        <v>619</v>
      </c>
      <c r="E18" s="30" t="n">
        <v>0.36</v>
      </c>
    </row>
    <row r="19">
      <c r="A19" s="28" t="inlineStr">
        <is>
          <t>Ноябрь</t>
        </is>
      </c>
      <c r="B19" s="29" t="n">
        <v>1836</v>
      </c>
      <c r="C19" s="29" t="n">
        <v>2020</v>
      </c>
      <c r="D19" s="29" t="n">
        <v>661</v>
      </c>
      <c r="E19" s="30" t="n">
        <v>0.36</v>
      </c>
    </row>
    <row r="20">
      <c r="A20" s="28" t="inlineStr">
        <is>
          <t>Декабрь</t>
        </is>
      </c>
      <c r="B20" s="29" t="n">
        <v>1636</v>
      </c>
      <c r="C20" s="29" t="n">
        <v>2291</v>
      </c>
      <c r="D20" s="29" t="n">
        <v>589</v>
      </c>
      <c r="E20" s="30" t="n">
        <v>0.36</v>
      </c>
    </row>
    <row r="21">
      <c r="A21" s="31" t="inlineStr">
        <is>
          <t>Итого 2026</t>
        </is>
      </c>
      <c r="B21" s="32" t="n">
        <v>20471</v>
      </c>
      <c r="C21" s="32" t="n">
        <v>23758</v>
      </c>
      <c r="D21" s="32" t="n">
        <v>7310</v>
      </c>
      <c r="E21" s="33" t="n">
        <v>0.36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ОФД — выручка 2026, помесячно</t>
        </is>
      </c>
    </row>
    <row r="2">
      <c r="A2" s="2" t="inlineStr">
        <is>
          <t>Проекты Проект п453 · Подключение · Онлайн · факт по Май, далее прогноз (база) и коридор низ/верх</t>
        </is>
      </c>
    </row>
    <row r="4">
      <c r="A4" s="4" t="inlineStr">
        <is>
          <t>Месяц</t>
        </is>
      </c>
      <c r="B4" s="4" t="inlineStr">
        <is>
          <t>План 2026</t>
        </is>
      </c>
      <c r="C4" s="4" t="inlineStr">
        <is>
          <t>Факт 2025</t>
        </is>
      </c>
      <c r="D4" s="4" t="inlineStr">
        <is>
          <t>Факт 2026</t>
        </is>
      </c>
      <c r="E4" s="4" t="inlineStr">
        <is>
          <t>Прогноз база</t>
        </is>
      </c>
      <c r="F4" s="4" t="inlineStr">
        <is>
          <t>Прогноз низ</t>
        </is>
      </c>
      <c r="G4" s="4" t="inlineStr">
        <is>
          <t>Прогноз верх</t>
        </is>
      </c>
    </row>
    <row r="5">
      <c r="A5" s="5" t="inlineStr">
        <is>
          <t>Январь</t>
        </is>
      </c>
      <c r="B5" s="6" t="n">
        <v>2810129.792756177</v>
      </c>
      <c r="C5" s="6" t="n">
        <v>4247510.21</v>
      </c>
      <c r="D5" s="6" t="n">
        <v>4051268</v>
      </c>
      <c r="E5" s="6" t="n"/>
      <c r="F5" s="6" t="n"/>
      <c r="G5" s="6" t="n"/>
    </row>
    <row r="6">
      <c r="A6" s="5" t="inlineStr">
        <is>
          <t>Февраль</t>
        </is>
      </c>
      <c r="B6" s="6" t="n">
        <v>3106809.006335288</v>
      </c>
      <c r="C6" s="6" t="n">
        <v>4139667.24</v>
      </c>
      <c r="D6" s="6" t="n">
        <v>4117291.34</v>
      </c>
      <c r="E6" s="6" t="n"/>
      <c r="F6" s="6" t="n"/>
      <c r="G6" s="6" t="n"/>
    </row>
    <row r="7">
      <c r="A7" s="5" t="inlineStr">
        <is>
          <t>Март</t>
        </is>
      </c>
      <c r="B7" s="6" t="n">
        <v>3178600.318375708</v>
      </c>
      <c r="C7" s="6" t="n">
        <v>4230686.78</v>
      </c>
      <c r="D7" s="6" t="n">
        <v>4177257.07</v>
      </c>
      <c r="E7" s="6" t="n"/>
      <c r="F7" s="6" t="n"/>
      <c r="G7" s="6" t="n"/>
    </row>
    <row r="8">
      <c r="A8" s="5" t="inlineStr">
        <is>
          <t>Апрель</t>
        </is>
      </c>
      <c r="B8" s="6" t="n">
        <v>3241746.667406957</v>
      </c>
      <c r="C8" s="6" t="n">
        <v>5801236.93</v>
      </c>
      <c r="D8" s="6" t="n">
        <v>3708388.14</v>
      </c>
      <c r="E8" s="6" t="n"/>
      <c r="F8" s="6" t="n"/>
      <c r="G8" s="6" t="n"/>
    </row>
    <row r="9">
      <c r="A9" s="5" t="inlineStr">
        <is>
          <t>Май</t>
        </is>
      </c>
      <c r="B9" s="6" t="n">
        <v>2968801.044866289</v>
      </c>
      <c r="C9" s="6" t="n">
        <v>4003480.27</v>
      </c>
      <c r="D9" s="6" t="n">
        <v>2843729.85</v>
      </c>
      <c r="E9" s="6" t="n"/>
      <c r="F9" s="6" t="n"/>
      <c r="G9" s="6" t="n"/>
    </row>
    <row r="10">
      <c r="A10" s="5" t="inlineStr">
        <is>
          <t>Июнь</t>
        </is>
      </c>
      <c r="B10" s="6" t="n">
        <v>3042927.784869445</v>
      </c>
      <c r="C10" s="6" t="n">
        <v>4119078.85</v>
      </c>
      <c r="D10" s="6" t="n"/>
      <c r="E10" s="6" t="n">
        <v>3607218.915260342</v>
      </c>
      <c r="F10" s="6" t="n">
        <v>3414149.443999988</v>
      </c>
      <c r="G10" s="6" t="n">
        <v>3757005.320959318</v>
      </c>
    </row>
    <row r="11">
      <c r="A11" s="5" t="inlineStr">
        <is>
          <t>Июль</t>
        </is>
      </c>
      <c r="B11" s="6" t="n">
        <v>3031387.357925069</v>
      </c>
      <c r="C11" s="6" t="n">
        <v>3662365.2</v>
      </c>
      <c r="D11" s="6" t="n"/>
      <c r="E11" s="6" t="n">
        <v>3413275.795122174</v>
      </c>
      <c r="F11" s="6" t="n">
        <v>2957435.793999986</v>
      </c>
      <c r="G11" s="6" t="n">
        <v>3742756.726020012</v>
      </c>
    </row>
    <row r="12">
      <c r="A12" s="5" t="inlineStr">
        <is>
          <t>Август</t>
        </is>
      </c>
      <c r="B12" s="6" t="n">
        <v>2992991.751534346</v>
      </c>
      <c r="C12" s="6" t="n">
        <v>3036270.56</v>
      </c>
      <c r="D12" s="6" t="n"/>
      <c r="E12" s="6" t="n">
        <v>3136636.550911444</v>
      </c>
      <c r="F12" s="6" t="n">
        <v>2331341.153999985</v>
      </c>
      <c r="G12" s="6" t="n">
        <v>3695350.902513886</v>
      </c>
    </row>
    <row r="13">
      <c r="A13" s="5" t="inlineStr">
        <is>
          <t>Сентябрь</t>
        </is>
      </c>
      <c r="B13" s="6" t="n">
        <v>2901984.613445907</v>
      </c>
      <c r="C13" s="6" t="n">
        <v>3091534.05</v>
      </c>
      <c r="D13" s="6" t="n"/>
      <c r="E13" s="6" t="n">
        <v>3113955.313009272</v>
      </c>
      <c r="F13" s="6" t="n">
        <v>2386604.643999983</v>
      </c>
      <c r="G13" s="6" t="n">
        <v>3680312.910176613</v>
      </c>
    </row>
    <row r="14">
      <c r="A14" s="5" t="inlineStr">
        <is>
          <t>Октябрь</t>
        </is>
      </c>
      <c r="B14" s="6" t="n">
        <v>3277976.709883101</v>
      </c>
      <c r="C14" s="6" t="n">
        <v>3457517.25</v>
      </c>
      <c r="D14" s="6" t="n"/>
      <c r="E14" s="6" t="n">
        <v>3449607.984927707</v>
      </c>
      <c r="F14" s="6" t="n">
        <v>2752587.843999983</v>
      </c>
      <c r="G14" s="6" t="n">
        <v>4047212.688466714</v>
      </c>
    </row>
    <row r="15">
      <c r="A15" s="5" t="inlineStr">
        <is>
          <t>Ноябрь</t>
        </is>
      </c>
      <c r="B15" s="6" t="n">
        <v>3197016.051724652</v>
      </c>
      <c r="C15" s="6" t="n">
        <v>2915834.57</v>
      </c>
      <c r="D15" s="6" t="n"/>
      <c r="E15" s="6" t="n">
        <v>3186874.829107625</v>
      </c>
      <c r="F15" s="6" t="n">
        <v>2210905.163999981</v>
      </c>
      <c r="G15" s="6" t="n">
        <v>3947253.161000401</v>
      </c>
    </row>
    <row r="16">
      <c r="A16" s="5" t="inlineStr">
        <is>
          <t>Декабрь</t>
        </is>
      </c>
      <c r="B16" s="6" t="n">
        <v>3794301.338165053</v>
      </c>
      <c r="C16" s="6" t="n">
        <v>5425472.9</v>
      </c>
      <c r="D16" s="6" t="n"/>
      <c r="E16" s="6" t="n">
        <v>4512343.748466134</v>
      </c>
      <c r="F16" s="6" t="n">
        <v>3674639.974324989</v>
      </c>
      <c r="G16" s="6" t="n">
        <v>4720543.493999979</v>
      </c>
    </row>
    <row r="17">
      <c r="A17" s="13" t="inlineStr">
        <is>
          <t>ИТОГО год</t>
        </is>
      </c>
      <c r="B17" s="14" t="n">
        <v>37544672.43728799</v>
      </c>
      <c r="C17" s="13" t="n"/>
      <c r="D17" s="14" t="n">
        <v>18897934.4</v>
      </c>
      <c r="E17" s="14" t="n">
        <v>43317847.53680471</v>
      </c>
      <c r="F17" s="14" t="n">
        <v>38625598.4183249</v>
      </c>
      <c r="G17" s="14" t="n">
        <v>46488369.60313693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ОФД — оплаты 2026, помесячно</t>
        </is>
      </c>
    </row>
    <row r="2">
      <c r="A2" s="2" t="inlineStr">
        <is>
          <t>Проекты Проект п453 · Подключение · Онлайн · факт по Май, далее прогноз (база) и коридор низ/верх</t>
        </is>
      </c>
    </row>
    <row r="4">
      <c r="A4" s="4" t="inlineStr">
        <is>
          <t>Месяц</t>
        </is>
      </c>
      <c r="B4" s="4" t="inlineStr">
        <is>
          <t>План 2026</t>
        </is>
      </c>
      <c r="C4" s="4" t="inlineStr">
        <is>
          <t>Факт 2025</t>
        </is>
      </c>
      <c r="D4" s="4" t="inlineStr">
        <is>
          <t>Факт 2026</t>
        </is>
      </c>
      <c r="E4" s="4" t="inlineStr">
        <is>
          <t>Прогноз база</t>
        </is>
      </c>
      <c r="F4" s="4" t="inlineStr">
        <is>
          <t>Прогноз низ</t>
        </is>
      </c>
      <c r="G4" s="4" t="inlineStr">
        <is>
          <t>Прогноз верх</t>
        </is>
      </c>
    </row>
    <row r="5">
      <c r="A5" s="5" t="inlineStr">
        <is>
          <t>Январь</t>
        </is>
      </c>
      <c r="B5" s="11" t="n">
        <v>553.1295998444964</v>
      </c>
      <c r="C5" s="11" t="n">
        <v>925</v>
      </c>
      <c r="D5" s="11" t="n">
        <v>712</v>
      </c>
      <c r="E5" s="11" t="n"/>
      <c r="F5" s="11" t="n"/>
      <c r="G5" s="11" t="n"/>
    </row>
    <row r="6">
      <c r="A6" s="5" t="inlineStr">
        <is>
          <t>Февраль</t>
        </is>
      </c>
      <c r="B6" s="11" t="n">
        <v>611.4680998825025</v>
      </c>
      <c r="C6" s="11" t="n">
        <v>800</v>
      </c>
      <c r="D6" s="11" t="n">
        <v>699</v>
      </c>
      <c r="E6" s="11" t="n"/>
      <c r="F6" s="11" t="n"/>
      <c r="G6" s="11" t="n"/>
    </row>
    <row r="7">
      <c r="A7" s="5" t="inlineStr">
        <is>
          <t>Март</t>
        </is>
      </c>
      <c r="B7" s="11" t="n">
        <v>621.6022998825026</v>
      </c>
      <c r="C7" s="11" t="n">
        <v>785</v>
      </c>
      <c r="D7" s="11" t="n">
        <v>711</v>
      </c>
      <c r="E7" s="11" t="n"/>
      <c r="F7" s="11" t="n"/>
      <c r="G7" s="11" t="n"/>
    </row>
    <row r="8">
      <c r="A8" s="5" t="inlineStr">
        <is>
          <t>Апрель</t>
        </is>
      </c>
      <c r="B8" s="11" t="n">
        <v>637.577022890739</v>
      </c>
      <c r="C8" s="11" t="n">
        <v>1013</v>
      </c>
      <c r="D8" s="11" t="n">
        <v>576</v>
      </c>
      <c r="E8" s="11" t="n"/>
      <c r="F8" s="11" t="n"/>
      <c r="G8" s="11" t="n"/>
    </row>
    <row r="9">
      <c r="A9" s="5" t="inlineStr">
        <is>
          <t>Май</t>
        </is>
      </c>
      <c r="B9" s="11" t="n">
        <v>584.6209227040131</v>
      </c>
      <c r="C9" s="11" t="n">
        <v>866</v>
      </c>
      <c r="D9" s="11" t="n">
        <v>489</v>
      </c>
      <c r="E9" s="11" t="n"/>
      <c r="F9" s="11" t="n"/>
      <c r="G9" s="11" t="n"/>
    </row>
    <row r="10">
      <c r="A10" s="5" t="inlineStr">
        <is>
          <t>Июнь</t>
        </is>
      </c>
      <c r="B10" s="11" t="n">
        <v>597.8854260369515</v>
      </c>
      <c r="C10" s="11" t="n">
        <v>726</v>
      </c>
      <c r="D10" s="11" t="n"/>
      <c r="E10" s="11" t="n">
        <v>574.3371580430527</v>
      </c>
      <c r="F10" s="11" t="n">
        <v>485.5999999999999</v>
      </c>
      <c r="G10" s="11" t="n">
        <v>633.3805857756607</v>
      </c>
    </row>
    <row r="11">
      <c r="A11" s="5" t="inlineStr">
        <is>
          <t>Июль</t>
        </is>
      </c>
      <c r="B11" s="11" t="n">
        <v>594.5740260369514</v>
      </c>
      <c r="C11" s="11" t="n">
        <v>627</v>
      </c>
      <c r="D11" s="11" t="n"/>
      <c r="E11" s="11" t="n">
        <v>534.6838385656411</v>
      </c>
      <c r="F11" s="11" t="n">
        <v>386.6</v>
      </c>
      <c r="G11" s="11" t="n">
        <v>629.8725951466871</v>
      </c>
    </row>
    <row r="12">
      <c r="A12" s="5" t="inlineStr">
        <is>
          <t>Август</t>
        </is>
      </c>
      <c r="B12" s="11" t="n">
        <v>584.9120258783644</v>
      </c>
      <c r="C12" s="11" t="n">
        <v>586</v>
      </c>
      <c r="D12" s="11" t="n"/>
      <c r="E12" s="11" t="n">
        <v>514.5393659549742</v>
      </c>
      <c r="F12" s="11" t="n">
        <v>345.6000000000001</v>
      </c>
      <c r="G12" s="11" t="n">
        <v>619.6369830148199</v>
      </c>
    </row>
    <row r="13">
      <c r="A13" s="5" t="inlineStr">
        <is>
          <t>Сентябрь</t>
        </is>
      </c>
      <c r="B13" s="11" t="n">
        <v>573.0697258783644</v>
      </c>
      <c r="C13" s="11" t="n">
        <v>561</v>
      </c>
      <c r="D13" s="11" t="n"/>
      <c r="E13" s="11" t="n">
        <v>499.6359641188786</v>
      </c>
      <c r="F13" s="11" t="n">
        <v>320.5999999999999</v>
      </c>
      <c r="G13" s="11" t="n">
        <v>607.0916313733709</v>
      </c>
    </row>
    <row r="14">
      <c r="A14" s="5" t="inlineStr">
        <is>
          <t>Октябрь</t>
        </is>
      </c>
      <c r="B14" s="11" t="n">
        <v>641.4724260369514</v>
      </c>
      <c r="C14" s="11" t="n">
        <v>603</v>
      </c>
      <c r="D14" s="11" t="n"/>
      <c r="E14" s="11" t="n">
        <v>544.3503545490897</v>
      </c>
      <c r="F14" s="11" t="n">
        <v>362.6</v>
      </c>
      <c r="G14" s="11" t="n">
        <v>679.5552513385867</v>
      </c>
    </row>
    <row r="15">
      <c r="A15" s="5" t="inlineStr">
        <is>
          <t>Ноябрь</t>
        </is>
      </c>
      <c r="B15" s="11" t="n">
        <v>628.7328258882317</v>
      </c>
      <c r="C15" s="11" t="n">
        <v>511</v>
      </c>
      <c r="D15" s="11" t="n"/>
      <c r="E15" s="11" t="n">
        <v>503.5992871742177</v>
      </c>
      <c r="F15" s="11" t="n">
        <v>270.6</v>
      </c>
      <c r="G15" s="11" t="n">
        <v>666.0593287866208</v>
      </c>
    </row>
    <row r="16">
      <c r="A16" s="5" t="inlineStr">
        <is>
          <t>Декабрь</t>
        </is>
      </c>
      <c r="B16" s="11" t="n">
        <v>746.2209264145296</v>
      </c>
      <c r="C16" s="11" t="n">
        <v>959</v>
      </c>
      <c r="D16" s="11" t="n"/>
      <c r="E16" s="11" t="n">
        <v>724.0971884403589</v>
      </c>
      <c r="F16" s="11" t="n">
        <v>600.51800642271</v>
      </c>
      <c r="G16" s="11" t="n">
        <v>790.5224427753153</v>
      </c>
    </row>
    <row r="17">
      <c r="A17" s="13" t="inlineStr">
        <is>
          <t>ИТОГО год</t>
        </is>
      </c>
      <c r="B17" s="15" t="n">
        <v>7375.265327374596</v>
      </c>
      <c r="C17" s="13" t="n"/>
      <c r="D17" s="15" t="n">
        <v>3187</v>
      </c>
      <c r="E17" s="15" t="n">
        <v>7082.243156846213</v>
      </c>
      <c r="F17" s="15" t="n">
        <v>5959.11800642271</v>
      </c>
      <c r="G17" s="15" t="n">
        <v>7813.118818211061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6" customWidth="1" min="4" max="4"/>
    <col width="8" customWidth="1" min="5" max="5"/>
  </cols>
  <sheetData>
    <row r="1">
      <c r="A1" s="21" t="inlineStr">
        <is>
          <t>ОФД — лиды 2026, помесячно (прогноз)</t>
        </is>
      </c>
    </row>
    <row r="2">
      <c r="A2" s="22" t="inlineStr">
        <is>
          <t>Источник: ГЭП-анализ · CR2 лид→оплата = 46%</t>
        </is>
      </c>
    </row>
    <row r="4">
      <c r="A4" s="23" t="inlineStr">
        <is>
          <t>Годовой прогноз</t>
        </is>
      </c>
    </row>
    <row r="5">
      <c r="A5" s="24" t="inlineStr">
        <is>
          <t>Лиды прогноз</t>
        </is>
      </c>
      <c r="B5" s="24" t="inlineStr">
        <is>
          <t>Минимум лидов для плана</t>
        </is>
      </c>
      <c r="C5" s="24" t="inlineStr">
        <is>
          <t>Выполнение по лидам</t>
        </is>
      </c>
      <c r="D5" s="24" t="inlineStr">
        <is>
          <t>Оплаты прогноз</t>
        </is>
      </c>
      <c r="E5" s="24" t="inlineStr">
        <is>
          <t>CR2</t>
        </is>
      </c>
    </row>
    <row r="6">
      <c r="A6" s="25" t="n">
        <v>17196</v>
      </c>
      <c r="B6" s="25" t="n">
        <v>14992</v>
      </c>
      <c r="C6" s="26" t="n">
        <v>1.14701173959445</v>
      </c>
      <c r="D6" s="25" t="n">
        <v>7938</v>
      </c>
      <c r="E6" s="26" t="n">
        <v>0.46</v>
      </c>
    </row>
    <row r="8">
      <c r="A8" s="27" t="inlineStr">
        <is>
          <t>Месяц</t>
        </is>
      </c>
      <c r="B8" s="27" t="inlineStr">
        <is>
          <t>Лиды (прогноз)</t>
        </is>
      </c>
      <c r="C8" s="27" t="inlineStr">
        <is>
          <t>Минимум лидов для плана</t>
        </is>
      </c>
      <c r="D8" s="27" t="inlineStr">
        <is>
          <t>Оплаты (прогноз)</t>
        </is>
      </c>
      <c r="E8" s="27" t="inlineStr">
        <is>
          <t>CR2</t>
        </is>
      </c>
    </row>
    <row r="9">
      <c r="A9" s="28" t="inlineStr">
        <is>
          <t>Январь</t>
        </is>
      </c>
      <c r="B9" s="29" t="n">
        <v>1326</v>
      </c>
      <c r="C9" s="29" t="n">
        <v>1083</v>
      </c>
      <c r="D9" s="29" t="n">
        <v>613</v>
      </c>
      <c r="E9" s="30" t="n">
        <v>0.46</v>
      </c>
    </row>
    <row r="10">
      <c r="A10" s="28" t="inlineStr">
        <is>
          <t>Февраль</t>
        </is>
      </c>
      <c r="B10" s="29" t="n">
        <v>1439</v>
      </c>
      <c r="C10" s="29" t="n">
        <v>1294</v>
      </c>
      <c r="D10" s="29" t="n">
        <v>664</v>
      </c>
      <c r="E10" s="30" t="n">
        <v>0.46</v>
      </c>
    </row>
    <row r="11">
      <c r="A11" s="28" t="inlineStr">
        <is>
          <t>Март</t>
        </is>
      </c>
      <c r="B11" s="29" t="n">
        <v>1460</v>
      </c>
      <c r="C11" s="29" t="n">
        <v>1182</v>
      </c>
      <c r="D11" s="29" t="n">
        <v>674</v>
      </c>
      <c r="E11" s="30" t="n">
        <v>0.46</v>
      </c>
    </row>
    <row r="12">
      <c r="A12" s="28" t="inlineStr">
        <is>
          <t>Апрель</t>
        </is>
      </c>
      <c r="B12" s="29" t="n">
        <v>1393</v>
      </c>
      <c r="C12" s="29" t="n">
        <v>1194</v>
      </c>
      <c r="D12" s="29" t="n">
        <v>643</v>
      </c>
      <c r="E12" s="30" t="n">
        <v>0.46</v>
      </c>
    </row>
    <row r="13">
      <c r="A13" s="28" t="inlineStr">
        <is>
          <t>Май</t>
        </is>
      </c>
      <c r="B13" s="29" t="n">
        <v>1452</v>
      </c>
      <c r="C13" s="29" t="n">
        <v>1193</v>
      </c>
      <c r="D13" s="29" t="n">
        <v>670</v>
      </c>
      <c r="E13" s="30" t="n">
        <v>0.46</v>
      </c>
    </row>
    <row r="14">
      <c r="A14" s="28" t="inlineStr">
        <is>
          <t>Июнь</t>
        </is>
      </c>
      <c r="B14" s="29" t="n">
        <v>1345</v>
      </c>
      <c r="C14" s="29" t="n">
        <v>1200</v>
      </c>
      <c r="D14" s="29" t="n">
        <v>621</v>
      </c>
      <c r="E14" s="30" t="n">
        <v>0.46</v>
      </c>
    </row>
    <row r="15">
      <c r="A15" s="28" t="inlineStr">
        <is>
          <t>Июль</t>
        </is>
      </c>
      <c r="B15" s="29" t="n">
        <v>1409</v>
      </c>
      <c r="C15" s="29" t="n">
        <v>1213</v>
      </c>
      <c r="D15" s="29" t="n">
        <v>650</v>
      </c>
      <c r="E15" s="30" t="n">
        <v>0.46</v>
      </c>
    </row>
    <row r="16">
      <c r="A16" s="28" t="inlineStr">
        <is>
          <t>Август</t>
        </is>
      </c>
      <c r="B16" s="29" t="n">
        <v>1328</v>
      </c>
      <c r="C16" s="29" t="n">
        <v>1220</v>
      </c>
      <c r="D16" s="29" t="n">
        <v>613</v>
      </c>
      <c r="E16" s="30" t="n">
        <v>0.46</v>
      </c>
    </row>
    <row r="17">
      <c r="A17" s="28" t="inlineStr">
        <is>
          <t>Сентябрь</t>
        </is>
      </c>
      <c r="B17" s="29" t="n">
        <v>1358</v>
      </c>
      <c r="C17" s="29" t="n">
        <v>1228</v>
      </c>
      <c r="D17" s="29" t="n">
        <v>627</v>
      </c>
      <c r="E17" s="30" t="n">
        <v>0.46</v>
      </c>
    </row>
    <row r="18">
      <c r="A18" s="28" t="inlineStr">
        <is>
          <t>Октябрь</t>
        </is>
      </c>
      <c r="B18" s="29" t="n">
        <v>1625</v>
      </c>
      <c r="C18" s="29" t="n">
        <v>1422</v>
      </c>
      <c r="D18" s="29" t="n">
        <v>750</v>
      </c>
      <c r="E18" s="30" t="n">
        <v>0.46</v>
      </c>
    </row>
    <row r="19">
      <c r="A19" s="28" t="inlineStr">
        <is>
          <t>Ноябрь</t>
        </is>
      </c>
      <c r="B19" s="29" t="n">
        <v>1517</v>
      </c>
      <c r="C19" s="29" t="n">
        <v>1368</v>
      </c>
      <c r="D19" s="29" t="n">
        <v>700</v>
      </c>
      <c r="E19" s="30" t="n">
        <v>0.46</v>
      </c>
    </row>
    <row r="20">
      <c r="A20" s="28" t="inlineStr">
        <is>
          <t>Декабрь</t>
        </is>
      </c>
      <c r="B20" s="29" t="n">
        <v>1544</v>
      </c>
      <c r="C20" s="29" t="n">
        <v>1395</v>
      </c>
      <c r="D20" s="29" t="n">
        <v>713</v>
      </c>
      <c r="E20" s="30" t="n">
        <v>0.46</v>
      </c>
    </row>
    <row r="21">
      <c r="A21" s="31" t="inlineStr">
        <is>
          <t>Итого 2026</t>
        </is>
      </c>
      <c r="B21" s="32" t="n">
        <v>17196</v>
      </c>
      <c r="C21" s="32" t="n">
        <v>14992</v>
      </c>
      <c r="D21" s="32" t="n">
        <v>7938</v>
      </c>
      <c r="E21" s="33" t="n">
        <v>0.46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1" t="inlineStr">
        <is>
          <t>Прогноз года по методам (выручка), ₽</t>
        </is>
      </c>
    </row>
    <row r="2">
      <c r="A2" s="2" t="inlineStr">
        <is>
          <t>Ансамбль (база) — взвешенное среднее: pacing 0.40 · YoY 0.25 · ETS 0.15 · регрессия 0.20</t>
        </is>
      </c>
    </row>
    <row r="4">
      <c r="A4" s="4" t="inlineStr">
        <is>
          <t>Метод</t>
        </is>
      </c>
      <c r="B4" s="4" t="inlineStr">
        <is>
          <t>Маркет</t>
        </is>
      </c>
      <c r="C4" s="4" t="inlineStr">
        <is>
          <t>ОФД</t>
        </is>
      </c>
    </row>
    <row r="5">
      <c r="A5" s="5" t="inlineStr">
        <is>
          <t>Plan-pacing</t>
        </is>
      </c>
      <c r="B5" s="6" t="n">
        <v>107967248.3546386</v>
      </c>
      <c r="C5" s="6" t="n">
        <v>46355202.65119191</v>
      </c>
    </row>
    <row r="6">
      <c r="A6" s="5" t="inlineStr">
        <is>
          <t>Сезонный YoY</t>
        </is>
      </c>
      <c r="B6" s="6" t="n">
        <v>97631341.61583415</v>
      </c>
      <c r="C6" s="6" t="n">
        <v>40564908.19614005</v>
      </c>
    </row>
    <row r="7">
      <c r="A7" s="5" t="inlineStr">
        <is>
          <t>ETS / Holt</t>
        </is>
      </c>
      <c r="B7" s="6" t="n">
        <v>102360063.267196</v>
      </c>
      <c r="C7" s="6" t="n">
        <v>44668260.26461965</v>
      </c>
    </row>
    <row r="8">
      <c r="A8" s="5" t="inlineStr">
        <is>
          <t>Регрессия+сезон</t>
        </is>
      </c>
      <c r="B8" s="6" t="n">
        <v>95234846.80000003</v>
      </c>
      <c r="C8" s="6" t="n">
        <v>39671501.93799989</v>
      </c>
    </row>
    <row r="9">
      <c r="A9" s="16" t="inlineStr">
        <is>
          <t>АНСАМБЛЬ (база)</t>
        </is>
      </c>
      <c r="B9" s="14" t="n">
        <v>101995713.5958934</v>
      </c>
      <c r="C9" s="14" t="n">
        <v>43317847.53680471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Контекстная реклама: расход / оплаты / CPO / CPL</t>
        </is>
      </c>
    </row>
    <row r="2">
      <c r="A2" s="2" t="inlineStr">
        <is>
          <t>Источник: дашборды Контекст (распознано с экрана, суммы сверены с «Итого»). Выручка по целевым лидам — из data (15). Июнь 2026 — неполный.</t>
        </is>
      </c>
    </row>
    <row r="4">
      <c r="A4" s="4" t="inlineStr">
        <is>
          <t>Месяц</t>
        </is>
      </c>
      <c r="B4" s="4" t="inlineStr">
        <is>
          <t>Маркет расход</t>
        </is>
      </c>
      <c r="C4" s="4" t="inlineStr">
        <is>
          <t>Маркет опл.</t>
        </is>
      </c>
      <c r="D4" s="4" t="inlineStr">
        <is>
          <t>Маркет CPO</t>
        </is>
      </c>
      <c r="E4" s="4" t="inlineStr">
        <is>
          <t>Маркет CPL</t>
        </is>
      </c>
      <c r="F4" s="4" t="inlineStr">
        <is>
          <t>ОФД расход</t>
        </is>
      </c>
      <c r="G4" s="4" t="inlineStr">
        <is>
          <t>ОФД опл.</t>
        </is>
      </c>
      <c r="H4" s="4" t="inlineStr">
        <is>
          <t>ОФД CPO</t>
        </is>
      </c>
      <c r="I4" s="4" t="inlineStr">
        <is>
          <t>ОФД CPL</t>
        </is>
      </c>
    </row>
    <row r="5">
      <c r="A5" s="5" t="inlineStr">
        <is>
          <t>янв 2025</t>
        </is>
      </c>
      <c r="B5" s="6" t="n">
        <v>1426675</v>
      </c>
      <c r="C5" s="5" t="n">
        <v>11</v>
      </c>
      <c r="D5" s="6" t="n">
        <v>129698</v>
      </c>
      <c r="E5" s="6" t="n">
        <v>16212</v>
      </c>
      <c r="F5" s="6" t="n">
        <v>349519</v>
      </c>
      <c r="G5" s="5" t="n">
        <v>40</v>
      </c>
      <c r="H5" s="6" t="n">
        <v>8738</v>
      </c>
      <c r="I5" s="6" t="n">
        <v>2608</v>
      </c>
    </row>
    <row r="6">
      <c r="A6" s="5" t="inlineStr">
        <is>
          <t>фев 2025</t>
        </is>
      </c>
      <c r="B6" s="6" t="n">
        <v>1458662</v>
      </c>
      <c r="C6" s="5" t="n">
        <v>17</v>
      </c>
      <c r="D6" s="6" t="n">
        <v>85804</v>
      </c>
      <c r="E6" s="6" t="n">
        <v>14301</v>
      </c>
      <c r="F6" s="6" t="n">
        <v>417835</v>
      </c>
      <c r="G6" s="5" t="n">
        <v>35</v>
      </c>
      <c r="H6" s="6" t="n">
        <v>11938</v>
      </c>
      <c r="I6" s="6" t="n">
        <v>4096</v>
      </c>
    </row>
    <row r="7">
      <c r="A7" s="5" t="inlineStr">
        <is>
          <t>мар 2025</t>
        </is>
      </c>
      <c r="B7" s="6" t="n">
        <v>1291864</v>
      </c>
      <c r="C7" s="5" t="n">
        <v>14</v>
      </c>
      <c r="D7" s="6" t="n">
        <v>92276</v>
      </c>
      <c r="E7" s="6" t="n">
        <v>14680</v>
      </c>
      <c r="F7" s="6" t="n">
        <v>457771</v>
      </c>
      <c r="G7" s="5" t="n">
        <v>20</v>
      </c>
      <c r="H7" s="6" t="n">
        <v>22889</v>
      </c>
      <c r="I7" s="6" t="n">
        <v>4976</v>
      </c>
    </row>
    <row r="8">
      <c r="A8" s="5" t="inlineStr">
        <is>
          <t>апр 2025</t>
        </is>
      </c>
      <c r="B8" s="6" t="n">
        <v>1653242</v>
      </c>
      <c r="C8" s="5" t="n">
        <v>31</v>
      </c>
      <c r="D8" s="6" t="n">
        <v>53330</v>
      </c>
      <c r="E8" s="6" t="n">
        <v>13018</v>
      </c>
      <c r="F8" s="6" t="n">
        <v>586537</v>
      </c>
      <c r="G8" s="5" t="n">
        <v>17</v>
      </c>
      <c r="H8" s="6" t="n">
        <v>34502</v>
      </c>
      <c r="I8" s="6" t="n">
        <v>8626</v>
      </c>
    </row>
    <row r="9">
      <c r="A9" s="5" t="inlineStr">
        <is>
          <t>май 2025</t>
        </is>
      </c>
      <c r="B9" s="6" t="n">
        <v>1140537</v>
      </c>
      <c r="C9" s="5" t="n">
        <v>24</v>
      </c>
      <c r="D9" s="6" t="n">
        <v>47522</v>
      </c>
      <c r="E9" s="6" t="n">
        <v>9666</v>
      </c>
      <c r="F9" s="6" t="n">
        <v>524111</v>
      </c>
      <c r="G9" s="5" t="n">
        <v>11</v>
      </c>
      <c r="H9" s="6" t="n">
        <v>47646</v>
      </c>
      <c r="I9" s="6" t="n">
        <v>10079</v>
      </c>
    </row>
    <row r="10">
      <c r="A10" s="5" t="inlineStr">
        <is>
          <t>июн 2025</t>
        </is>
      </c>
      <c r="B10" s="6" t="n">
        <v>892872</v>
      </c>
      <c r="C10" s="5" t="n">
        <v>26</v>
      </c>
      <c r="D10" s="6" t="n">
        <v>34341</v>
      </c>
      <c r="E10" s="6" t="n">
        <v>8504</v>
      </c>
      <c r="F10" s="6" t="n">
        <v>426952</v>
      </c>
      <c r="G10" s="5" t="n">
        <v>8</v>
      </c>
      <c r="H10" s="6" t="n">
        <v>53369</v>
      </c>
      <c r="I10" s="6" t="n">
        <v>9282</v>
      </c>
    </row>
    <row r="11">
      <c r="A11" s="5" t="inlineStr">
        <is>
          <t>июл 2025</t>
        </is>
      </c>
      <c r="B11" s="6" t="n">
        <v>679389</v>
      </c>
      <c r="C11" s="5" t="n">
        <v>20</v>
      </c>
      <c r="D11" s="6" t="n">
        <v>33969</v>
      </c>
      <c r="E11" s="6" t="n">
        <v>6596</v>
      </c>
      <c r="F11" s="6" t="n">
        <v>356743</v>
      </c>
      <c r="G11" s="5" t="n">
        <v>24</v>
      </c>
      <c r="H11" s="6" t="n">
        <v>14864</v>
      </c>
      <c r="I11" s="6" t="n">
        <v>4694</v>
      </c>
    </row>
    <row r="12">
      <c r="A12" s="5" t="inlineStr">
        <is>
          <t>авг 2025</t>
        </is>
      </c>
      <c r="B12" s="6" t="n">
        <v>468224</v>
      </c>
      <c r="C12" s="5" t="n">
        <v>16</v>
      </c>
      <c r="D12" s="6" t="n">
        <v>29264</v>
      </c>
      <c r="E12" s="6" t="n">
        <v>8361</v>
      </c>
      <c r="F12" s="6" t="n">
        <v>367080</v>
      </c>
      <c r="G12" s="5" t="n">
        <v>19</v>
      </c>
      <c r="H12" s="6" t="n">
        <v>19320</v>
      </c>
      <c r="I12" s="6" t="n">
        <v>4706</v>
      </c>
    </row>
    <row r="13">
      <c r="A13" s="5" t="inlineStr">
        <is>
          <t>сен 2025</t>
        </is>
      </c>
      <c r="B13" s="6" t="n">
        <v>624524</v>
      </c>
      <c r="C13" s="5" t="n">
        <v>20</v>
      </c>
      <c r="D13" s="6" t="n">
        <v>31226</v>
      </c>
      <c r="E13" s="6" t="n">
        <v>8217</v>
      </c>
      <c r="F13" s="6" t="n">
        <v>405867</v>
      </c>
      <c r="G13" s="5" t="n">
        <v>20</v>
      </c>
      <c r="H13" s="6" t="n">
        <v>20293</v>
      </c>
      <c r="I13" s="6" t="n">
        <v>4560</v>
      </c>
    </row>
    <row r="14">
      <c r="A14" s="5" t="inlineStr">
        <is>
          <t>окт 2025</t>
        </is>
      </c>
      <c r="B14" s="6" t="n">
        <v>827573</v>
      </c>
      <c r="C14" s="5" t="n">
        <v>18</v>
      </c>
      <c r="D14" s="6" t="n">
        <v>45976</v>
      </c>
      <c r="E14" s="6" t="n">
        <v>11034</v>
      </c>
      <c r="F14" s="6" t="n">
        <v>460200</v>
      </c>
      <c r="G14" s="5" t="n">
        <v>21</v>
      </c>
      <c r="H14" s="6" t="n">
        <v>21914</v>
      </c>
      <c r="I14" s="6" t="n">
        <v>5171</v>
      </c>
    </row>
    <row r="15">
      <c r="A15" s="5" t="inlineStr">
        <is>
          <t>ноя 2025</t>
        </is>
      </c>
      <c r="B15" s="6" t="n">
        <v>751818</v>
      </c>
      <c r="C15" s="5" t="n">
        <v>11</v>
      </c>
      <c r="D15" s="6" t="n">
        <v>68347</v>
      </c>
      <c r="E15" s="6" t="n">
        <v>11221</v>
      </c>
      <c r="F15" s="6" t="n">
        <v>432649</v>
      </c>
      <c r="G15" s="5" t="n">
        <v>23</v>
      </c>
      <c r="H15" s="6" t="n">
        <v>18811</v>
      </c>
      <c r="I15" s="6" t="n">
        <v>4973</v>
      </c>
    </row>
    <row r="16">
      <c r="A16" s="5" t="inlineStr">
        <is>
          <t>дек 2025</t>
        </is>
      </c>
      <c r="B16" s="6" t="n">
        <v>637877</v>
      </c>
      <c r="C16" s="5" t="n">
        <v>16</v>
      </c>
      <c r="D16" s="6" t="n">
        <v>39867</v>
      </c>
      <c r="E16" s="6" t="n">
        <v>9665</v>
      </c>
      <c r="F16" s="6" t="n">
        <v>386677</v>
      </c>
      <c r="G16" s="5" t="n">
        <v>30</v>
      </c>
      <c r="H16" s="6" t="n">
        <v>12889</v>
      </c>
      <c r="I16" s="6" t="n">
        <v>3906</v>
      </c>
    </row>
    <row r="17">
      <c r="A17" s="5" t="inlineStr">
        <is>
          <t>янв 2026</t>
        </is>
      </c>
      <c r="B17" s="6" t="n">
        <v>566120</v>
      </c>
      <c r="C17" s="5" t="n">
        <v>23</v>
      </c>
      <c r="D17" s="6" t="n">
        <v>24614</v>
      </c>
      <c r="E17" s="6" t="n">
        <v>7650</v>
      </c>
      <c r="F17" s="6" t="n">
        <v>415847</v>
      </c>
      <c r="G17" s="5" t="n">
        <v>32</v>
      </c>
      <c r="H17" s="6" t="n">
        <v>12995</v>
      </c>
      <c r="I17" s="6" t="n">
        <v>3465</v>
      </c>
    </row>
    <row r="18">
      <c r="A18" s="5" t="inlineStr">
        <is>
          <t>фев 2026</t>
        </is>
      </c>
      <c r="B18" s="6" t="n">
        <v>562249</v>
      </c>
      <c r="C18" s="5" t="n">
        <v>15</v>
      </c>
      <c r="D18" s="6" t="n">
        <v>37483</v>
      </c>
      <c r="E18" s="6" t="n">
        <v>9694</v>
      </c>
      <c r="F18" s="6" t="n">
        <v>386770</v>
      </c>
      <c r="G18" s="5" t="n">
        <v>29</v>
      </c>
      <c r="H18" s="6" t="n">
        <v>13337</v>
      </c>
      <c r="I18" s="6" t="n">
        <v>3484</v>
      </c>
    </row>
    <row r="19">
      <c r="A19" s="5" t="inlineStr">
        <is>
          <t>мар 2026</t>
        </is>
      </c>
      <c r="B19" s="6" t="n">
        <v>704396</v>
      </c>
      <c r="C19" s="5" t="n">
        <v>15</v>
      </c>
      <c r="D19" s="6" t="n">
        <v>46960</v>
      </c>
      <c r="E19" s="6" t="n">
        <v>10513</v>
      </c>
      <c r="F19" s="6" t="n">
        <v>423647</v>
      </c>
      <c r="G19" s="5" t="n">
        <v>25</v>
      </c>
      <c r="H19" s="6" t="n">
        <v>16946</v>
      </c>
      <c r="I19" s="6" t="n">
        <v>3560</v>
      </c>
    </row>
    <row r="20">
      <c r="A20" s="5" t="inlineStr">
        <is>
          <t>апр 2026</t>
        </is>
      </c>
      <c r="B20" s="6" t="n">
        <v>449859</v>
      </c>
      <c r="C20" s="5" t="n">
        <v>17</v>
      </c>
      <c r="D20" s="6" t="n">
        <v>26462</v>
      </c>
      <c r="E20" s="6" t="n">
        <v>5998</v>
      </c>
      <c r="F20" s="6" t="n">
        <v>390294</v>
      </c>
      <c r="G20" s="5" t="n">
        <v>21</v>
      </c>
      <c r="H20" s="6" t="n">
        <v>18585</v>
      </c>
      <c r="I20" s="6" t="n">
        <v>3199</v>
      </c>
    </row>
    <row r="21">
      <c r="A21" s="5" t="inlineStr">
        <is>
          <t>май 2026</t>
        </is>
      </c>
      <c r="B21" s="6" t="n">
        <v>467277</v>
      </c>
      <c r="C21" s="5" t="n">
        <v>20</v>
      </c>
      <c r="D21" s="6" t="n">
        <v>23364</v>
      </c>
      <c r="E21" s="6" t="n">
        <v>4537</v>
      </c>
      <c r="F21" s="6" t="n">
        <v>262720</v>
      </c>
      <c r="G21" s="5" t="n">
        <v>18</v>
      </c>
      <c r="H21" s="6" t="n">
        <v>14596</v>
      </c>
      <c r="I21" s="6" t="n">
        <v>4042</v>
      </c>
    </row>
    <row r="22">
      <c r="A22" s="5" t="inlineStr">
        <is>
          <t>июн 2026</t>
        </is>
      </c>
      <c r="B22" s="6" t="n">
        <v>129019</v>
      </c>
      <c r="C22" s="5" t="n">
        <v>1</v>
      </c>
      <c r="D22" s="6" t="n">
        <v>129019</v>
      </c>
      <c r="E22" s="6" t="n">
        <v>4608</v>
      </c>
      <c r="F22" s="6" t="n">
        <v>52264</v>
      </c>
      <c r="G22" s="5" t="n">
        <v>4</v>
      </c>
      <c r="H22" s="6" t="n">
        <v>13066</v>
      </c>
      <c r="I22" s="6" t="n">
        <v>1936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7" t="inlineStr">
        <is>
          <t>Методология прогноза 2026 — Маркет и ОФД</t>
        </is>
      </c>
    </row>
    <row r="2">
      <c r="A2" s="18" t="inlineStr"/>
    </row>
    <row r="3">
      <c r="A3" s="19" t="inlineStr">
        <is>
          <t>1. ИСТОЧНИКИ ДАННЫХ</t>
        </is>
      </c>
    </row>
    <row r="4">
      <c r="A4" s="18" t="inlineStr">
        <is>
          <t>• Царь свод все разрезы.xlsx — помесячный план и факт по проектам.</t>
        </is>
      </c>
    </row>
    <row r="5">
      <c r="A5" s="18" t="inlineStr">
        <is>
          <t xml:space="preserve">    Маркет = проекты п470 + п47101; ОФД = проект п453 (п45302 — техника/ФН/услуги внедрения — исключён).</t>
        </is>
      </c>
    </row>
    <row r="6">
      <c r="A6" s="18" t="inlineStr">
        <is>
          <t>• data (15).xlsx — рекламный факт (целевые лиды по продукту): выручка и оплаты по месяцам.</t>
        </is>
      </c>
    </row>
    <row r="7">
      <c r="A7" s="18" t="inlineStr">
        <is>
          <t>• Дашборды Контекст (PNG) — расход, оплаты, CPL по месяцам (распознано с экрана, суммы сверены с «Итого»).</t>
        </is>
      </c>
    </row>
    <row r="8">
      <c r="A8" s="18" t="inlineStr"/>
    </row>
    <row r="9">
      <c r="A9" s="19" t="inlineStr">
        <is>
          <t>2. ГОРИЗОНТ И ОБУЧАЮЩАЯ ВЫБОРКА</t>
        </is>
      </c>
    </row>
    <row r="10">
      <c r="A10" s="18" t="inlineStr">
        <is>
          <t>• Факт известен по Май 2026 включительно (YTD). Прогнозируются оставшиеся месяцы до декабря 2026.</t>
        </is>
      </c>
    </row>
    <row r="11">
      <c r="A11" s="18" t="inlineStr">
        <is>
          <t>• Обучающий ряд: янв 2025 – последний завершённый месяц 2026 (~17 точек). Июнь 2026 неполный — в обучение не берётся.</t>
        </is>
      </c>
    </row>
    <row r="12">
      <c r="A12" s="18" t="inlineStr"/>
    </row>
    <row r="13">
      <c r="A13" s="19" t="inlineStr">
        <is>
          <t>3. МОДЕЛИ (считаются независимо, затем ансамбль)</t>
        </is>
      </c>
    </row>
    <row r="14">
      <c r="A14" s="18" t="inlineStr">
        <is>
          <t>• Plan-pacing: оставшийся месяц = план месяца × (факт YTD ÷ план YTD).</t>
        </is>
      </c>
    </row>
    <row r="15">
      <c r="A15" s="18" t="inlineStr">
        <is>
          <t xml:space="preserve">    Самый бизнес-обоснованный — план уже содержит сезонность, а текущий темп выполнения переносится на остаток.</t>
        </is>
      </c>
    </row>
    <row r="16">
      <c r="A16" s="18" t="inlineStr">
        <is>
          <t>• Сезонный YoY: оставшийся месяц = факт того же месяца 2025 × (1 + g), g — прирост YTD-2026 к тому же периоду 2025.</t>
        </is>
      </c>
    </row>
    <row r="17">
      <c r="A17" s="18" t="inlineStr">
        <is>
          <t>• ETS / Holt (statsmodels ExponentialSmoothing): аддитивный демпфированный тренд; сезонность period=12, если ≥24 точек.</t>
        </is>
      </c>
    </row>
    <row r="18">
      <c r="A18" s="18" t="inlineStr">
        <is>
          <t>• Регрессия + сезонные дамми (scikit-learn LinearRegression): линейный тренд по времени + 11 месячных индикаторов.</t>
        </is>
      </c>
    </row>
    <row r="19">
      <c r="A19" s="18" t="inlineStr"/>
    </row>
    <row r="20">
      <c r="A20" s="19" t="inlineStr">
        <is>
          <t>4. АНСАМБЛЬ И СЦЕНАРИИ</t>
        </is>
      </c>
    </row>
    <row r="21">
      <c r="A21" s="18" t="inlineStr">
        <is>
          <t>• База = взвешенное среднее доступных методов: plan-pacing 0.40, сезонный YoY 0.25, ETS 0.15, регрессия 0.20.</t>
        </is>
      </c>
    </row>
    <row r="22">
      <c r="A22" s="18" t="inlineStr">
        <is>
          <t>• Коридор: НИЗ = минимум по методам в каждом месяце, ВЕРХ = максимум. Сумма за год даёт сценарии низ/база/верх.</t>
        </is>
      </c>
    </row>
    <row r="23">
      <c r="A23" s="18" t="inlineStr">
        <is>
          <t>• Отрицательные прогнозы обнуляются.</t>
        </is>
      </c>
    </row>
    <row r="24">
      <c r="A24" s="18" t="inlineStr"/>
    </row>
    <row r="25">
      <c r="A25" s="19" t="inlineStr">
        <is>
          <t>5. ВЫПОЛНЕНИЕ ПЛАНА</t>
        </is>
      </c>
    </row>
    <row r="26">
      <c r="A26" s="18" t="inlineStr">
        <is>
          <t>• Прогноз года = факт YTD + Σ прогноза остатка. Выполнение плана = прогноз года ÷ годовой план × 100%.</t>
        </is>
      </c>
    </row>
    <row r="27">
      <c r="A27" s="18" t="inlineStr">
        <is>
          <t>• Вывод: ≥100% — план будет выполнен; 95–100% — на грани; 85–95% — недовыполнение; &lt;85% — существенный недобор.</t>
        </is>
      </c>
    </row>
    <row r="28">
      <c r="A28" s="18" t="inlineStr"/>
    </row>
    <row r="29">
      <c r="A29" s="19" t="inlineStr">
        <is>
          <t>6. ОГРАНИЧЕНИЯ</t>
        </is>
      </c>
    </row>
    <row r="30">
      <c r="A30" s="18" t="inlineStr">
        <is>
          <t>• Короткий ряд (~1.5 года) — сезонные модели работают на пределе; ставка сделана на plan-pacing и YoY.</t>
        </is>
      </c>
    </row>
    <row r="31">
      <c r="A31" s="18" t="inlineStr">
        <is>
          <t>• Рекламные расход/CPL сняты с дашбордов распознаванием — возможны мелкие неточности (итоги сверены).</t>
        </is>
      </c>
    </row>
    <row r="32">
      <c r="A32" s="18" t="inlineStr">
        <is>
          <t>• Прогноз не учитывает разовые акции, изменения цен и план-факт корректировки после даты выгрузки.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Входные помесячные ряды (план/факт по проектам), ₽</t>
        </is>
      </c>
    </row>
    <row r="3">
      <c r="A3" s="4" t="inlineStr">
        <is>
          <t>Продукт</t>
        </is>
      </c>
      <c r="B3" s="4" t="inlineStr">
        <is>
          <t>Показатель</t>
        </is>
      </c>
      <c r="C3" s="4" t="inlineStr">
        <is>
          <t>Год</t>
        </is>
      </c>
      <c r="D3" s="4" t="inlineStr">
        <is>
          <t>янв</t>
        </is>
      </c>
      <c r="E3" s="4" t="inlineStr">
        <is>
          <t>фев</t>
        </is>
      </c>
      <c r="F3" s="4" t="inlineStr">
        <is>
          <t>мар</t>
        </is>
      </c>
      <c r="G3" s="4" t="inlineStr">
        <is>
          <t>апр</t>
        </is>
      </c>
      <c r="H3" s="4" t="inlineStr">
        <is>
          <t>май</t>
        </is>
      </c>
      <c r="I3" s="4" t="inlineStr">
        <is>
          <t>июн</t>
        </is>
      </c>
      <c r="J3" s="4" t="inlineStr">
        <is>
          <t>июл</t>
        </is>
      </c>
      <c r="K3" s="4" t="inlineStr">
        <is>
          <t>авг</t>
        </is>
      </c>
      <c r="L3" s="4" t="inlineStr">
        <is>
          <t>сен</t>
        </is>
      </c>
      <c r="M3" s="4" t="inlineStr">
        <is>
          <t>окт</t>
        </is>
      </c>
      <c r="N3" s="4" t="inlineStr">
        <is>
          <t>ноя</t>
        </is>
      </c>
      <c r="O3" s="4" t="inlineStr">
        <is>
          <t>дек</t>
        </is>
      </c>
    </row>
    <row r="4">
      <c r="A4" t="inlineStr">
        <is>
          <t>Маркет</t>
        </is>
      </c>
      <c r="B4" t="inlineStr">
        <is>
          <t>План 2026</t>
        </is>
      </c>
      <c r="C4" t="n">
        <v>2026</v>
      </c>
      <c r="D4" s="20" t="n">
        <v>9780158</v>
      </c>
      <c r="E4" s="20" t="n">
        <v>9456800</v>
      </c>
      <c r="F4" s="20" t="n">
        <v>10981834</v>
      </c>
      <c r="G4" s="20" t="n">
        <v>10450826</v>
      </c>
      <c r="H4" s="20" t="n">
        <v>8364989</v>
      </c>
      <c r="I4" s="20" t="n">
        <v>10320988</v>
      </c>
      <c r="J4" s="20" t="n">
        <v>10125275</v>
      </c>
      <c r="K4" s="20" t="n">
        <v>9011271</v>
      </c>
      <c r="L4" s="20" t="n">
        <v>8788064</v>
      </c>
      <c r="M4" s="20" t="n">
        <v>9948492</v>
      </c>
      <c r="N4" s="20" t="n">
        <v>9708061</v>
      </c>
      <c r="O4" s="20" t="n">
        <v>12102845</v>
      </c>
    </row>
    <row r="5">
      <c r="A5" t="inlineStr">
        <is>
          <t>Маркет</t>
        </is>
      </c>
      <c r="B5" t="inlineStr">
        <is>
          <t>Факт 2025</t>
        </is>
      </c>
      <c r="C5" t="n">
        <v>2025</v>
      </c>
      <c r="D5" s="20" t="n">
        <v>10566339</v>
      </c>
      <c r="E5" s="20" t="n">
        <v>10162594</v>
      </c>
      <c r="F5" s="20" t="n">
        <v>11323288</v>
      </c>
      <c r="G5" s="20" t="n">
        <v>14129486</v>
      </c>
      <c r="H5" s="20" t="n">
        <v>9997066</v>
      </c>
      <c r="I5" s="20" t="n">
        <v>11423141</v>
      </c>
      <c r="J5" s="20" t="n">
        <v>9919931</v>
      </c>
      <c r="K5" s="20" t="n">
        <v>7919160</v>
      </c>
      <c r="L5" s="20" t="n">
        <v>9186864</v>
      </c>
      <c r="M5" s="20" t="n">
        <v>8738891</v>
      </c>
      <c r="N5" s="20" t="n">
        <v>7976369</v>
      </c>
      <c r="O5" s="20" t="n">
        <v>11983893</v>
      </c>
    </row>
    <row r="6">
      <c r="A6" t="inlineStr">
        <is>
          <t>Маркет</t>
        </is>
      </c>
      <c r="B6" t="inlineStr">
        <is>
          <t>Факт 2026</t>
        </is>
      </c>
      <c r="C6" t="n">
        <v>2026</v>
      </c>
      <c r="D6" s="20" t="n">
        <v>8241025</v>
      </c>
      <c r="E6" s="20" t="n">
        <v>9199025</v>
      </c>
      <c r="F6" s="20" t="n">
        <v>10261583</v>
      </c>
      <c r="G6" s="20" t="n">
        <v>8993089</v>
      </c>
      <c r="H6" s="20" t="n">
        <v>7778978</v>
      </c>
      <c r="I6" s="20" t="n">
        <v>3207489</v>
      </c>
      <c r="J6" s="20" t="n">
        <v>0</v>
      </c>
      <c r="K6" s="20" t="n">
        <v>0</v>
      </c>
      <c r="L6" s="20" t="n">
        <v>0</v>
      </c>
      <c r="M6" s="20" t="n">
        <v>0</v>
      </c>
      <c r="N6" s="20" t="n">
        <v>0</v>
      </c>
      <c r="O6" s="20" t="n">
        <v>0</v>
      </c>
    </row>
    <row r="7">
      <c r="A7" t="inlineStr">
        <is>
          <t>ОФД</t>
        </is>
      </c>
      <c r="B7" t="inlineStr">
        <is>
          <t>План 2026</t>
        </is>
      </c>
      <c r="C7" t="n">
        <v>2026</v>
      </c>
      <c r="D7" s="20" t="n">
        <v>2810130</v>
      </c>
      <c r="E7" s="20" t="n">
        <v>3106809</v>
      </c>
      <c r="F7" s="20" t="n">
        <v>3178600</v>
      </c>
      <c r="G7" s="20" t="n">
        <v>3241747</v>
      </c>
      <c r="H7" s="20" t="n">
        <v>2968801</v>
      </c>
      <c r="I7" s="20" t="n">
        <v>3042928</v>
      </c>
      <c r="J7" s="20" t="n">
        <v>3031387</v>
      </c>
      <c r="K7" s="20" t="n">
        <v>2992992</v>
      </c>
      <c r="L7" s="20" t="n">
        <v>2901985</v>
      </c>
      <c r="M7" s="20" t="n">
        <v>3277977</v>
      </c>
      <c r="N7" s="20" t="n">
        <v>3197016</v>
      </c>
      <c r="O7" s="20" t="n">
        <v>3794301</v>
      </c>
    </row>
    <row r="8">
      <c r="A8" t="inlineStr">
        <is>
          <t>ОФД</t>
        </is>
      </c>
      <c r="B8" t="inlineStr">
        <is>
          <t>Факт 2025</t>
        </is>
      </c>
      <c r="C8" t="n">
        <v>2025</v>
      </c>
      <c r="D8" s="20" t="n">
        <v>4247510</v>
      </c>
      <c r="E8" s="20" t="n">
        <v>4139667</v>
      </c>
      <c r="F8" s="20" t="n">
        <v>4230687</v>
      </c>
      <c r="G8" s="20" t="n">
        <v>5801237</v>
      </c>
      <c r="H8" s="20" t="n">
        <v>4003480</v>
      </c>
      <c r="I8" s="20" t="n">
        <v>4119079</v>
      </c>
      <c r="J8" s="20" t="n">
        <v>3662365</v>
      </c>
      <c r="K8" s="20" t="n">
        <v>3036271</v>
      </c>
      <c r="L8" s="20" t="n">
        <v>3091534</v>
      </c>
      <c r="M8" s="20" t="n">
        <v>3457517</v>
      </c>
      <c r="N8" s="20" t="n">
        <v>2915835</v>
      </c>
      <c r="O8" s="20" t="n">
        <v>5425473</v>
      </c>
    </row>
    <row r="9">
      <c r="A9" t="inlineStr">
        <is>
          <t>ОФД</t>
        </is>
      </c>
      <c r="B9" t="inlineStr">
        <is>
          <t>Факт 2026</t>
        </is>
      </c>
      <c r="C9" t="n">
        <v>2026</v>
      </c>
      <c r="D9" s="20" t="n">
        <v>4051268</v>
      </c>
      <c r="E9" s="20" t="n">
        <v>4117291</v>
      </c>
      <c r="F9" s="20" t="n">
        <v>4177257</v>
      </c>
      <c r="G9" s="20" t="n">
        <v>3708388</v>
      </c>
      <c r="H9" s="20" t="n">
        <v>2843730</v>
      </c>
      <c r="I9" s="20" t="n">
        <v>1188408</v>
      </c>
      <c r="J9" s="20" t="n">
        <v>0</v>
      </c>
      <c r="K9" s="20" t="n">
        <v>0</v>
      </c>
      <c r="L9" s="20" t="n">
        <v>0</v>
      </c>
      <c r="M9" s="20" t="n">
        <v>0</v>
      </c>
      <c r="N9" s="20" t="n">
        <v>0</v>
      </c>
      <c r="O9" s="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2026-06-15T06:56:11Z</dcterms:created>
  <dcterms:modified xmlns:dcterms="http://purl.org/dc/terms/" xmlns:xsi="http://www.w3.org/2001/XMLSchema-instance" xsi:type="dcterms:W3CDTF">2026-06-17T10:17:33Z</dcterms:modified>
</cp:coreProperties>
</file>