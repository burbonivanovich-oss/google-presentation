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Маркет (лиды)" sheetId="4" state="visible" r:id="rId4"/>
    <sheet xmlns:r="http://schemas.openxmlformats.org/officeDocument/2006/relationships" name="Маркет (горячие)" sheetId="5" state="visible" r:id="rId5"/>
    <sheet xmlns:r="http://schemas.openxmlformats.org/officeDocument/2006/relationships" name="ОФД (выручка)" sheetId="6" state="visible" r:id="rId6"/>
    <sheet xmlns:r="http://schemas.openxmlformats.org/officeDocument/2006/relationships" name="ОФД (оплаты)" sheetId="7" state="visible" r:id="rId7"/>
    <sheet xmlns:r="http://schemas.openxmlformats.org/officeDocument/2006/relationships" name="ОФД (лиды)" sheetId="8" state="visible" r:id="rId8"/>
    <sheet xmlns:r="http://schemas.openxmlformats.org/officeDocument/2006/relationships" name="ОФД (горячие)" sheetId="9" state="visible" r:id="rId9"/>
    <sheet xmlns:r="http://schemas.openxmlformats.org/officeDocument/2006/relationships" name="Сравнение методов" sheetId="10" state="visible" r:id="rId10"/>
    <sheet xmlns:r="http://schemas.openxmlformats.org/officeDocument/2006/relationships" name="Реклама — эффективность" sheetId="11" state="visible" r:id="rId11"/>
    <sheet xmlns:r="http://schemas.openxmlformats.org/officeDocument/2006/relationships" name="Методология" sheetId="12" state="visible" r:id="rId12"/>
    <sheet xmlns:r="http://schemas.openxmlformats.org/officeDocument/2006/relationships" name="Данные (вход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  <font>
      <name val="Montserrat"/>
      <b val="1"/>
      <color rgb="001D2430"/>
      <sz val="16"/>
    </font>
    <font>
      <name val="Montserrat"/>
      <i val="1"/>
      <color rgb="005E6670"/>
      <sz val="10"/>
    </font>
    <font>
      <name val="Montserrat"/>
      <b val="1"/>
      <color rgb="00FFFFFF"/>
      <sz val="11"/>
    </font>
    <font>
      <name val="Montserrat"/>
      <sz val="11"/>
    </font>
    <font>
      <name val="Montserrat"/>
      <b val="1"/>
      <sz val="11"/>
    </font>
    <font>
      <name val="Montserrat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10" fillId="0" borderId="1" pivotButton="0" quotePrefix="0" xfId="0"/>
    <xf numFmtId="3" fontId="9" fillId="0" borderId="1" pivotButton="0" quotePrefix="0" xfId="0"/>
    <xf numFmtId="0" fontId="10" fillId="3" borderId="1" pivotButton="0" quotePrefix="0" xfId="0"/>
    <xf numFmtId="3" fontId="10" fillId="3" borderId="1" pivotButton="0" quotePrefix="0" xfId="0"/>
    <xf numFmtId="0" fontId="1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  <smooth val="0"/>
        </ser>
        <ser>
          <idx val="1"/>
          <order val="1"/>
          <tx>
            <strRef>
              <f>'Маркет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  <smooth val="0"/>
        </ser>
        <ser>
          <idx val="2"/>
          <order val="2"/>
          <tx>
            <strRef>
              <f>'Маркет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  <smooth val="0"/>
        </ser>
        <ser>
          <idx val="1"/>
          <order val="1"/>
          <tx>
            <strRef>
              <f>'Маркет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  <smooth val="0"/>
        </ser>
        <ser>
          <idx val="2"/>
          <order val="2"/>
          <tx>
            <strRef>
              <f>'Маркет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(лиды)'!$B$5:$B$16</f>
            </numRef>
          </val>
          <smooth val="0"/>
        </ser>
        <ser>
          <idx val="1"/>
          <order val="1"/>
          <tx>
            <strRef>
              <f>'Маркет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(лиды)'!$D$5:$D$16</f>
            </numRef>
          </val>
          <smooth val="0"/>
        </ser>
        <ser>
          <idx val="2"/>
          <order val="2"/>
          <tx>
            <strRef>
              <f>'Маркет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(горячие)'!$D$5:$D$16</f>
            </numRef>
          </val>
          <smooth val="0"/>
        </ser>
        <ser>
          <idx val="1"/>
          <order val="1"/>
          <tx>
            <strRef>
              <f>'Маркет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  <smooth val="0"/>
        </ser>
        <ser>
          <idx val="1"/>
          <order val="1"/>
          <tx>
            <strRef>
              <f>'ОФД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  <smooth val="0"/>
        </ser>
        <ser>
          <idx val="2"/>
          <order val="2"/>
          <tx>
            <strRef>
              <f>'ОФД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  <smooth val="0"/>
        </ser>
        <ser>
          <idx val="1"/>
          <order val="1"/>
          <tx>
            <strRef>
              <f>'ОФД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  <smooth val="0"/>
        </ser>
        <ser>
          <idx val="2"/>
          <order val="2"/>
          <tx>
            <strRef>
              <f>'ОФД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(лиды)'!$B$5:$B$16</f>
            </numRef>
          </val>
          <smooth val="0"/>
        </ser>
        <ser>
          <idx val="1"/>
          <order val="1"/>
          <tx>
            <strRef>
              <f>'ОФД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(лиды)'!$D$5:$D$16</f>
            </numRef>
          </val>
          <smooth val="0"/>
        </ser>
        <ser>
          <idx val="2"/>
          <order val="2"/>
          <tx>
            <strRef>
              <f>'ОФД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(горячие)'!$D$5:$D$16</f>
            </numRef>
          </val>
          <smooth val="0"/>
        </ser>
        <ser>
          <idx val="1"/>
          <order val="1"/>
          <tx>
            <strRef>
              <f>'ОФД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Маркет — база по plan-pacing (темп YTD 91%); ОФД — ансамбль ·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119039603</v>
      </c>
      <c r="C6" s="6" t="n">
        <v>37544672.43728799</v>
      </c>
    </row>
    <row r="7">
      <c r="A7" s="5" t="inlineStr">
        <is>
          <t>План YTD (янв–май)</t>
        </is>
      </c>
      <c r="B7" s="6" t="n">
        <v>49034607</v>
      </c>
      <c r="C7" s="6" t="n">
        <v>15306086.82974042</v>
      </c>
    </row>
    <row r="8">
      <c r="A8" s="7" t="inlineStr">
        <is>
          <t>Факт YTD (янв–май)</t>
        </is>
      </c>
      <c r="B8" s="8" t="n">
        <v>44473700</v>
      </c>
      <c r="C8" s="8" t="n">
        <v>18897934.4</v>
      </c>
    </row>
    <row r="9">
      <c r="A9" s="5" t="inlineStr">
        <is>
          <t>Выполнение YTD, %</t>
        </is>
      </c>
      <c r="B9" s="9" t="n">
        <v>0.906985957897042</v>
      </c>
      <c r="C9" s="9" t="n">
        <v>1.234667920691555</v>
      </c>
    </row>
    <row r="10">
      <c r="A10" s="5" t="inlineStr">
        <is>
          <t>YoY к 2025, %</t>
        </is>
      </c>
      <c r="B10" s="9" t="n">
        <v>-0.2083540165606678</v>
      </c>
      <c r="C10" s="9" t="n">
        <v>-0.1571918488066785</v>
      </c>
    </row>
    <row r="11">
      <c r="A11" s="5" t="inlineStr">
        <is>
          <t>Прогноз года — НИЗ</t>
        </is>
      </c>
      <c r="B11" s="6" t="n">
        <v>102374059</v>
      </c>
      <c r="C11" s="6" t="n">
        <v>38625598.4183249</v>
      </c>
    </row>
    <row r="12">
      <c r="A12" s="7" t="inlineStr">
        <is>
          <t>Прогноз года — БАЗА</t>
        </is>
      </c>
      <c r="B12" s="8" t="n">
        <v>108326039</v>
      </c>
      <c r="C12" s="8" t="n">
        <v>43317847.53680471</v>
      </c>
    </row>
    <row r="13">
      <c r="A13" s="5" t="inlineStr">
        <is>
          <t>Прогноз года — ВЕРХ</t>
        </is>
      </c>
      <c r="B13" s="6" t="n">
        <v>114278019</v>
      </c>
      <c r="C13" s="6" t="n">
        <v>46488369.60313693</v>
      </c>
    </row>
    <row r="14">
      <c r="A14" s="5" t="inlineStr">
        <is>
          <t>Выполнение плана — НИЗ, %</t>
        </is>
      </c>
      <c r="B14" s="9" t="n">
        <v>0.86</v>
      </c>
      <c r="C14" s="9" t="n">
        <v>1.028790395836917</v>
      </c>
    </row>
    <row r="15">
      <c r="A15" s="7" t="inlineStr">
        <is>
          <t>Выполнение плана — БАЗА, %</t>
        </is>
      </c>
      <c r="B15" s="10" t="n">
        <v>0.91</v>
      </c>
      <c r="C15" s="10" t="n">
        <v>1.153768157364</v>
      </c>
    </row>
    <row r="16">
      <c r="A16" s="5" t="inlineStr">
        <is>
          <t>Выполнение плана — ВЕРХ, %</t>
        </is>
      </c>
      <c r="B16" s="9" t="n">
        <v>0.96</v>
      </c>
      <c r="C16" s="9" t="n">
        <v>1.238214814120109</v>
      </c>
    </row>
    <row r="17">
      <c r="A17" s="7" t="inlineStr">
        <is>
          <t>Вывод (база)</t>
        </is>
      </c>
      <c r="B17" s="5" t="inlineStr">
        <is>
          <t>на грани плана</t>
        </is>
      </c>
      <c r="C17" s="5" t="inlineStr">
        <is>
          <t>план будет выполнен</t>
        </is>
      </c>
    </row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1" t="n">
        <v>6399</v>
      </c>
      <c r="C21" s="11" t="n">
        <v>7375.265327374596</v>
      </c>
    </row>
    <row r="22">
      <c r="A22" s="5" t="inlineStr">
        <is>
          <t>План YTD (янв–май)</t>
        </is>
      </c>
      <c r="B22" s="11" t="n">
        <v>2737</v>
      </c>
      <c r="C22" s="11" t="n">
        <v>3008.397945204254</v>
      </c>
    </row>
    <row r="23">
      <c r="A23" s="7" t="inlineStr">
        <is>
          <t>Факт YTD (янв–май)</t>
        </is>
      </c>
      <c r="B23" s="12" t="n">
        <v>2458</v>
      </c>
      <c r="C23" s="12" t="n">
        <v>3187</v>
      </c>
    </row>
    <row r="24">
      <c r="A24" s="5" t="inlineStr">
        <is>
          <t>Выполнение YTD, %</t>
        </is>
      </c>
      <c r="B24" s="9" t="n">
        <v>0.8980635732553891</v>
      </c>
      <c r="C24" s="9" t="n">
        <v>1.05936782900695</v>
      </c>
    </row>
    <row r="25">
      <c r="A25" s="5" t="inlineStr">
        <is>
          <t>YoY к 2025, %</t>
        </is>
      </c>
      <c r="B25" s="9" t="n">
        <v>-0.3168426903835464</v>
      </c>
      <c r="C25" s="9" t="n">
        <v>-0.2738664843928002</v>
      </c>
    </row>
    <row r="26">
      <c r="A26" s="5" t="inlineStr">
        <is>
          <t>Прогноз года — НИЗ</t>
        </is>
      </c>
      <c r="B26" s="11" t="n">
        <v>5487</v>
      </c>
      <c r="C26" s="11" t="n">
        <v>5959.11800642271</v>
      </c>
    </row>
    <row r="27">
      <c r="A27" s="7" t="inlineStr">
        <is>
          <t>Прогноз года — БАЗА</t>
        </is>
      </c>
      <c r="B27" s="12" t="n">
        <v>5798</v>
      </c>
      <c r="C27" s="12" t="n">
        <v>7082.243156846213</v>
      </c>
    </row>
    <row r="28">
      <c r="A28" s="5" t="inlineStr">
        <is>
          <t>Прогноз года — ВЕРХ</t>
        </is>
      </c>
      <c r="B28" s="11" t="n">
        <v>6110</v>
      </c>
      <c r="C28" s="11" t="n">
        <v>7813.118818211061</v>
      </c>
    </row>
    <row r="29">
      <c r="A29" s="5" t="inlineStr">
        <is>
          <t>Выполнение плана — НИЗ, %</t>
        </is>
      </c>
      <c r="B29" s="9" t="n">
        <v>0.857</v>
      </c>
      <c r="C29" s="9" t="n">
        <v>0.8079869322537312</v>
      </c>
    </row>
    <row r="30">
      <c r="A30" s="7" t="inlineStr">
        <is>
          <t>Выполнение плана — БАЗА, %</t>
        </is>
      </c>
      <c r="B30" s="10" t="n">
        <v>0.906</v>
      </c>
      <c r="C30" s="10" t="n">
        <v>0.9602696096314284</v>
      </c>
    </row>
    <row r="31">
      <c r="A31" s="5" t="inlineStr">
        <is>
          <t>Выполнение плана — ВЕРХ, %</t>
        </is>
      </c>
      <c r="B31" s="9" t="n">
        <v>0.955</v>
      </c>
      <c r="C31" s="9" t="n">
        <v>1.05936782900695</v>
      </c>
    </row>
    <row r="32">
      <c r="A32" s="7" t="inlineStr">
        <is>
          <t>Вывод (база)</t>
        </is>
      </c>
      <c r="B32" s="5" t="inlineStr">
        <is>
          <t>недовыполнение</t>
        </is>
      </c>
      <c r="C32" s="5" t="inlineStr">
        <is>
          <t>на грани плана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9780158</v>
      </c>
      <c r="C5" s="6" t="n">
        <v>10566339</v>
      </c>
      <c r="D5" s="6" t="n">
        <v>8241025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9456800</v>
      </c>
      <c r="C6" s="6" t="n">
        <v>10162594</v>
      </c>
      <c r="D6" s="6" t="n">
        <v>9199025</v>
      </c>
      <c r="E6" s="6" t="n"/>
      <c r="F6" s="6" t="n"/>
      <c r="G6" s="6" t="n"/>
    </row>
    <row r="7">
      <c r="A7" s="5" t="inlineStr">
        <is>
          <t>Март</t>
        </is>
      </c>
      <c r="B7" s="6" t="n">
        <v>10981834</v>
      </c>
      <c r="C7" s="6" t="n">
        <v>11323288</v>
      </c>
      <c r="D7" s="6" t="n">
        <v>10261583</v>
      </c>
      <c r="E7" s="6" t="n"/>
      <c r="F7" s="6" t="n"/>
      <c r="G7" s="6" t="n"/>
    </row>
    <row r="8">
      <c r="A8" s="5" t="inlineStr">
        <is>
          <t>Апрель</t>
        </is>
      </c>
      <c r="B8" s="6" t="n">
        <v>10450826</v>
      </c>
      <c r="C8" s="6" t="n">
        <v>14129486</v>
      </c>
      <c r="D8" s="6" t="n">
        <v>8993089</v>
      </c>
      <c r="E8" s="6" t="n"/>
      <c r="F8" s="6" t="n"/>
      <c r="G8" s="6" t="n"/>
    </row>
    <row r="9">
      <c r="A9" s="5" t="inlineStr">
        <is>
          <t>Май</t>
        </is>
      </c>
      <c r="B9" s="6" t="n">
        <v>8364989</v>
      </c>
      <c r="C9" s="6" t="n">
        <v>9997066</v>
      </c>
      <c r="D9" s="6" t="n">
        <v>7778978</v>
      </c>
      <c r="E9" s="6" t="n"/>
      <c r="F9" s="6" t="n"/>
      <c r="G9" s="6" t="n"/>
    </row>
    <row r="10">
      <c r="A10" s="5" t="inlineStr">
        <is>
          <t>Июнь</t>
        </is>
      </c>
      <c r="B10" s="6" t="n">
        <v>10320988</v>
      </c>
      <c r="C10" s="6" t="n">
        <v>11423141</v>
      </c>
      <c r="D10" s="6" t="n"/>
      <c r="E10" s="6" t="n">
        <v>9413888.43</v>
      </c>
      <c r="F10" s="6" t="n">
        <v>8536375.119999999</v>
      </c>
      <c r="G10" s="6" t="n">
        <v>10291401.74</v>
      </c>
    </row>
    <row r="11">
      <c r="A11" s="5" t="inlineStr">
        <is>
          <t>Июль</t>
        </is>
      </c>
      <c r="B11" s="6" t="n">
        <v>10125275</v>
      </c>
      <c r="C11" s="6" t="n">
        <v>9919931</v>
      </c>
      <c r="D11" s="6" t="n"/>
      <c r="E11" s="6" t="n">
        <v>9235376.42</v>
      </c>
      <c r="F11" s="6" t="n">
        <v>8374503.06</v>
      </c>
      <c r="G11" s="6" t="n">
        <v>10096249.77</v>
      </c>
    </row>
    <row r="12">
      <c r="A12" s="5" t="inlineStr">
        <is>
          <t>Август</t>
        </is>
      </c>
      <c r="B12" s="6" t="n">
        <v>9011271</v>
      </c>
      <c r="C12" s="6" t="n">
        <v>7919160</v>
      </c>
      <c r="D12" s="6" t="n"/>
      <c r="E12" s="6" t="n">
        <v>8219280.93</v>
      </c>
      <c r="F12" s="6" t="n">
        <v>7453122.66</v>
      </c>
      <c r="G12" s="6" t="n">
        <v>8985439.189999999</v>
      </c>
    </row>
    <row r="13">
      <c r="A13" s="5" t="inlineStr">
        <is>
          <t>Сентябрь</t>
        </is>
      </c>
      <c r="B13" s="6" t="n">
        <v>8788064</v>
      </c>
      <c r="C13" s="6" t="n">
        <v>9186864</v>
      </c>
      <c r="D13" s="6" t="n"/>
      <c r="E13" s="6" t="n">
        <v>8015691.33</v>
      </c>
      <c r="F13" s="6" t="n">
        <v>7268510.62</v>
      </c>
      <c r="G13" s="6" t="n">
        <v>8762872.039999999</v>
      </c>
    </row>
    <row r="14">
      <c r="A14" s="5" t="inlineStr">
        <is>
          <t>Октябрь</t>
        </is>
      </c>
      <c r="B14" s="6" t="n">
        <v>9948492</v>
      </c>
      <c r="C14" s="6" t="n">
        <v>8738891</v>
      </c>
      <c r="D14" s="6" t="n"/>
      <c r="E14" s="6" t="n">
        <v>9074130.67</v>
      </c>
      <c r="F14" s="6" t="n">
        <v>8228287.79</v>
      </c>
      <c r="G14" s="6" t="n">
        <v>9919973.539999999</v>
      </c>
    </row>
    <row r="15">
      <c r="A15" s="5" t="inlineStr">
        <is>
          <t>Ноябрь</t>
        </is>
      </c>
      <c r="B15" s="6" t="n">
        <v>9708061</v>
      </c>
      <c r="C15" s="6" t="n">
        <v>7976369</v>
      </c>
      <c r="D15" s="6" t="n"/>
      <c r="E15" s="6" t="n">
        <v>8854830.869999999</v>
      </c>
      <c r="F15" s="6" t="n">
        <v>8029429.97</v>
      </c>
      <c r="G15" s="6" t="n">
        <v>9680231.76</v>
      </c>
    </row>
    <row r="16">
      <c r="A16" s="5" t="inlineStr">
        <is>
          <t>Декабрь</t>
        </is>
      </c>
      <c r="B16" s="6" t="n">
        <v>12102845</v>
      </c>
      <c r="C16" s="6" t="n">
        <v>11983893</v>
      </c>
      <c r="D16" s="6" t="n"/>
      <c r="E16" s="6" t="n">
        <v>11039140.1</v>
      </c>
      <c r="F16" s="6" t="n">
        <v>10010129.35</v>
      </c>
      <c r="G16" s="6" t="n">
        <v>12068150.85</v>
      </c>
    </row>
    <row r="17">
      <c r="A17" s="13" t="inlineStr">
        <is>
          <t>ИТОГО год</t>
        </is>
      </c>
      <c r="B17" s="14" t="n">
        <v>119039603</v>
      </c>
      <c r="C17" s="13" t="n"/>
      <c r="D17" s="14" t="n">
        <v>44473700</v>
      </c>
      <c r="E17" s="14" t="n">
        <v>108326038.75</v>
      </c>
      <c r="F17" s="14" t="n">
        <v>102374058.57</v>
      </c>
      <c r="G17" s="14" t="n">
        <v>114278018.89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617</v>
      </c>
      <c r="C5" s="11" t="n">
        <v>752</v>
      </c>
      <c r="D5" s="11" t="n">
        <v>477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532</v>
      </c>
      <c r="C6" s="11" t="n">
        <v>644</v>
      </c>
      <c r="D6" s="11" t="n">
        <v>501</v>
      </c>
      <c r="E6" s="11" t="n"/>
      <c r="F6" s="11" t="n"/>
      <c r="G6" s="11" t="n"/>
    </row>
    <row r="7">
      <c r="A7" s="5" t="inlineStr">
        <is>
          <t>Март</t>
        </is>
      </c>
      <c r="B7" s="11" t="n">
        <v>600</v>
      </c>
      <c r="C7" s="11" t="n">
        <v>706</v>
      </c>
      <c r="D7" s="11" t="n">
        <v>600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576</v>
      </c>
      <c r="C8" s="11" t="n">
        <v>883</v>
      </c>
      <c r="D8" s="11" t="n">
        <v>477</v>
      </c>
      <c r="E8" s="11" t="n"/>
      <c r="F8" s="11" t="n"/>
      <c r="G8" s="11" t="n"/>
    </row>
    <row r="9">
      <c r="A9" s="5" t="inlineStr">
        <is>
          <t>Май</t>
        </is>
      </c>
      <c r="B9" s="11" t="n">
        <v>412</v>
      </c>
      <c r="C9" s="11" t="n">
        <v>613</v>
      </c>
      <c r="D9" s="11" t="n">
        <v>403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526</v>
      </c>
      <c r="C10" s="11" t="n">
        <v>700</v>
      </c>
      <c r="D10" s="11" t="n"/>
      <c r="E10" s="11" t="n">
        <v>479.77</v>
      </c>
      <c r="F10" s="11" t="n">
        <v>435.05</v>
      </c>
      <c r="G10" s="11" t="n">
        <v>524.49</v>
      </c>
    </row>
    <row r="11">
      <c r="A11" s="5" t="inlineStr">
        <is>
          <t>Июль</t>
        </is>
      </c>
      <c r="B11" s="11" t="n">
        <v>562</v>
      </c>
      <c r="C11" s="11" t="n">
        <v>584</v>
      </c>
      <c r="D11" s="11" t="n"/>
      <c r="E11" s="11" t="n">
        <v>512.61</v>
      </c>
      <c r="F11" s="11" t="n">
        <v>464.82</v>
      </c>
      <c r="G11" s="11" t="n">
        <v>560.39</v>
      </c>
    </row>
    <row r="12">
      <c r="A12" s="5" t="inlineStr">
        <is>
          <t>Август</t>
        </is>
      </c>
      <c r="B12" s="11" t="n">
        <v>458</v>
      </c>
      <c r="C12" s="11" t="n">
        <v>458</v>
      </c>
      <c r="D12" s="11" t="n"/>
      <c r="E12" s="11" t="n">
        <v>417.75</v>
      </c>
      <c r="F12" s="11" t="n">
        <v>378.81</v>
      </c>
      <c r="G12" s="11" t="n">
        <v>456.69</v>
      </c>
    </row>
    <row r="13">
      <c r="A13" s="5" t="inlineStr">
        <is>
          <t>Сентябрь</t>
        </is>
      </c>
      <c r="B13" s="11" t="n">
        <v>477</v>
      </c>
      <c r="C13" s="11" t="n">
        <v>517</v>
      </c>
      <c r="D13" s="11" t="n"/>
      <c r="E13" s="11" t="n">
        <v>435.08</v>
      </c>
      <c r="F13" s="11" t="n">
        <v>394.52</v>
      </c>
      <c r="G13" s="11" t="n">
        <v>475.63</v>
      </c>
    </row>
    <row r="14">
      <c r="A14" s="5" t="inlineStr">
        <is>
          <t>Октябрь</t>
        </is>
      </c>
      <c r="B14" s="11" t="n">
        <v>559</v>
      </c>
      <c r="C14" s="11" t="n">
        <v>529</v>
      </c>
      <c r="D14" s="11" t="n"/>
      <c r="E14" s="11" t="n">
        <v>509.87</v>
      </c>
      <c r="F14" s="11" t="n">
        <v>462.34</v>
      </c>
      <c r="G14" s="11" t="n">
        <v>557.4</v>
      </c>
    </row>
    <row r="15">
      <c r="A15" s="5" t="inlineStr">
        <is>
          <t>Ноябрь</t>
        </is>
      </c>
      <c r="B15" s="11" t="n">
        <v>489</v>
      </c>
      <c r="C15" s="11" t="n">
        <v>456</v>
      </c>
      <c r="D15" s="11" t="n"/>
      <c r="E15" s="11" t="n">
        <v>446.02</v>
      </c>
      <c r="F15" s="11" t="n">
        <v>404.45</v>
      </c>
      <c r="G15" s="11" t="n">
        <v>487.6</v>
      </c>
    </row>
    <row r="16">
      <c r="A16" s="5" t="inlineStr">
        <is>
          <t>Декабрь</t>
        </is>
      </c>
      <c r="B16" s="11" t="n">
        <v>591</v>
      </c>
      <c r="C16" s="11" t="n">
        <v>673</v>
      </c>
      <c r="D16" s="11" t="n"/>
      <c r="E16" s="11" t="n">
        <v>539.0599999999999</v>
      </c>
      <c r="F16" s="11" t="n">
        <v>488.81</v>
      </c>
      <c r="G16" s="11" t="n">
        <v>589.3099999999999</v>
      </c>
    </row>
    <row r="17">
      <c r="A17" s="13" t="inlineStr">
        <is>
          <t>ИТОГО год</t>
        </is>
      </c>
      <c r="B17" s="15" t="n">
        <v>6399</v>
      </c>
      <c r="C17" s="13" t="n"/>
      <c r="D17" s="15" t="n">
        <v>2458</v>
      </c>
      <c r="E17" s="15" t="n">
        <v>5798.16</v>
      </c>
      <c r="F17" s="15" t="n">
        <v>5486.8</v>
      </c>
      <c r="G17" s="15" t="n">
        <v>6109.51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Маркет — лиды 2026, помесячно (мой прогноз = оплаты ÷ CR2)</t>
        </is>
      </c>
    </row>
    <row r="2">
      <c r="A2" s="22" t="inlineStr">
        <is>
          <t>CR2 лид→оплата = 36%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1714</v>
      </c>
      <c r="C5" s="25" t="n">
        <v>2089</v>
      </c>
      <c r="D5" s="25" t="n">
        <v>1325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1478</v>
      </c>
      <c r="C6" s="25" t="n">
        <v>1789</v>
      </c>
      <c r="D6" s="25" t="n">
        <v>1392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1667</v>
      </c>
      <c r="C7" s="25" t="n">
        <v>1961</v>
      </c>
      <c r="D7" s="25" t="n">
        <v>1667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1600</v>
      </c>
      <c r="C8" s="25" t="n">
        <v>2453</v>
      </c>
      <c r="D8" s="25" t="n">
        <v>1325</v>
      </c>
      <c r="E8" s="25" t="n"/>
      <c r="F8" s="25" t="n"/>
      <c r="G8" s="25" t="n"/>
    </row>
    <row r="9">
      <c r="A9" s="24" t="inlineStr">
        <is>
          <t>Май</t>
        </is>
      </c>
      <c r="B9" s="25" t="n">
        <v>1144</v>
      </c>
      <c r="C9" s="25" t="n">
        <v>1703</v>
      </c>
      <c r="D9" s="25" t="n">
        <v>1119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1461</v>
      </c>
      <c r="C10" s="25" t="n">
        <v>1944</v>
      </c>
      <c r="D10" s="25" t="n"/>
      <c r="E10" s="25" t="n">
        <v>1332.59</v>
      </c>
      <c r="F10" s="25" t="n">
        <v>1208.38</v>
      </c>
      <c r="G10" s="25" t="n">
        <v>1456.81</v>
      </c>
    </row>
    <row r="11">
      <c r="A11" s="24" t="inlineStr">
        <is>
          <t>Июль</t>
        </is>
      </c>
      <c r="B11" s="25" t="n">
        <v>1561</v>
      </c>
      <c r="C11" s="25" t="n">
        <v>1622</v>
      </c>
      <c r="D11" s="25" t="n"/>
      <c r="E11" s="25" t="n">
        <v>1423.81</v>
      </c>
      <c r="F11" s="25" t="n">
        <v>1291.09</v>
      </c>
      <c r="G11" s="25" t="n">
        <v>1556.53</v>
      </c>
    </row>
    <row r="12">
      <c r="A12" s="24" t="inlineStr">
        <is>
          <t>Август</t>
        </is>
      </c>
      <c r="B12" s="25" t="n">
        <v>1272</v>
      </c>
      <c r="C12" s="25" t="n">
        <v>1272</v>
      </c>
      <c r="D12" s="25" t="n"/>
      <c r="E12" s="25" t="n">
        <v>1160.21</v>
      </c>
      <c r="F12" s="25" t="n">
        <v>1052.06</v>
      </c>
      <c r="G12" s="25" t="n">
        <v>1268.35</v>
      </c>
    </row>
    <row r="13">
      <c r="A13" s="24" t="inlineStr">
        <is>
          <t>Сентябрь</t>
        </is>
      </c>
      <c r="B13" s="25" t="n">
        <v>1325</v>
      </c>
      <c r="C13" s="25" t="n">
        <v>1436</v>
      </c>
      <c r="D13" s="25" t="n"/>
      <c r="E13" s="25" t="n">
        <v>1208.55</v>
      </c>
      <c r="F13" s="25" t="n">
        <v>1095.89</v>
      </c>
      <c r="G13" s="25" t="n">
        <v>1321.2</v>
      </c>
    </row>
    <row r="14">
      <c r="A14" s="24" t="inlineStr">
        <is>
          <t>Октябрь</t>
        </is>
      </c>
      <c r="B14" s="25" t="n">
        <v>1553</v>
      </c>
      <c r="C14" s="25" t="n">
        <v>1469</v>
      </c>
      <c r="D14" s="25" t="n"/>
      <c r="E14" s="25" t="n">
        <v>1416.51</v>
      </c>
      <c r="F14" s="25" t="n">
        <v>1284.47</v>
      </c>
      <c r="G14" s="25" t="n">
        <v>1548.55</v>
      </c>
    </row>
    <row r="15">
      <c r="A15" s="24" t="inlineStr">
        <is>
          <t>Ноябрь</t>
        </is>
      </c>
      <c r="B15" s="25" t="n">
        <v>1358</v>
      </c>
      <c r="C15" s="25" t="n">
        <v>1267</v>
      </c>
      <c r="D15" s="25" t="n"/>
      <c r="E15" s="25" t="n">
        <v>1238.65</v>
      </c>
      <c r="F15" s="25" t="n">
        <v>1123.19</v>
      </c>
      <c r="G15" s="25" t="n">
        <v>1354.11</v>
      </c>
    </row>
    <row r="16">
      <c r="A16" s="24" t="inlineStr">
        <is>
          <t>Декабрь</t>
        </is>
      </c>
      <c r="B16" s="25" t="n">
        <v>1642</v>
      </c>
      <c r="C16" s="25" t="n">
        <v>1869</v>
      </c>
      <c r="D16" s="25" t="n"/>
      <c r="E16" s="25" t="n">
        <v>1497.69</v>
      </c>
      <c r="F16" s="25" t="n">
        <v>1358.08</v>
      </c>
      <c r="G16" s="25" t="n">
        <v>1637.29</v>
      </c>
    </row>
    <row r="17">
      <c r="A17" s="26" t="inlineStr">
        <is>
          <t>ИТОГО год</t>
        </is>
      </c>
      <c r="B17" s="27" t="n">
        <v>17775</v>
      </c>
      <c r="C17" s="27" t="n"/>
      <c r="D17" s="27" t="n">
        <v>6828</v>
      </c>
      <c r="E17" s="27" t="n">
        <v>16106.01</v>
      </c>
      <c r="F17" s="27" t="n">
        <v>15241.16</v>
      </c>
      <c r="G17" s="27" t="n">
        <v>16970.84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6" customWidth="1" min="5" max="5"/>
    <col width="15" customWidth="1" min="6" max="6"/>
    <col width="17" customWidth="1" min="7" max="7"/>
  </cols>
  <sheetData>
    <row r="1">
      <c r="A1" s="21" t="inlineStr">
        <is>
          <t>Маркет — горячие заявки, помесячно</t>
        </is>
      </c>
    </row>
    <row r="2">
      <c r="A2" s="22" t="inlineStr">
        <is>
          <t>Воронка: всего → горячие → горячие без поставки/счёта · 2025 факт, 2026 — мой прогноз (ансамбль от факта 2025) · YoY горячих -17%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 (прогноз)</t>
        </is>
      </c>
      <c r="D4" s="28" t="inlineStr">
        <is>
          <t>Горячих 2025</t>
        </is>
      </c>
      <c r="E4" s="28" t="inlineStr">
        <is>
          <t>Горячих 2026 (прогноз)</t>
        </is>
      </c>
      <c r="F4" s="28" t="inlineStr">
        <is>
          <t>Без поставки 2025</t>
        </is>
      </c>
      <c r="G4" s="28" t="inlineStr">
        <is>
          <t>Без поставки 2026 (прогноз)</t>
        </is>
      </c>
    </row>
    <row r="5">
      <c r="A5" s="24" t="inlineStr">
        <is>
          <t>Январь</t>
        </is>
      </c>
      <c r="B5" s="25" t="n">
        <v>2489</v>
      </c>
      <c r="C5" s="25" t="n">
        <v>2078</v>
      </c>
      <c r="D5" s="25" t="n">
        <v>1591</v>
      </c>
      <c r="E5" s="25" t="n">
        <v>1324</v>
      </c>
      <c r="F5" s="25" t="n">
        <v>1195</v>
      </c>
      <c r="G5" s="25" t="n">
        <v>987</v>
      </c>
    </row>
    <row r="6">
      <c r="A6" s="24" t="inlineStr">
        <is>
          <t>Февраль</t>
        </is>
      </c>
      <c r="B6" s="25" t="n">
        <v>2266</v>
      </c>
      <c r="C6" s="25" t="n">
        <v>1892</v>
      </c>
      <c r="D6" s="25" t="n">
        <v>1363</v>
      </c>
      <c r="E6" s="25" t="n">
        <v>1135</v>
      </c>
      <c r="F6" s="25" t="n">
        <v>1037</v>
      </c>
      <c r="G6" s="25" t="n">
        <v>857</v>
      </c>
    </row>
    <row r="7">
      <c r="A7" s="24" t="inlineStr">
        <is>
          <t>Март</t>
        </is>
      </c>
      <c r="B7" s="25" t="n">
        <v>2235</v>
      </c>
      <c r="C7" s="25" t="n">
        <v>1866</v>
      </c>
      <c r="D7" s="25" t="n">
        <v>1387</v>
      </c>
      <c r="E7" s="25" t="n">
        <v>1154</v>
      </c>
      <c r="F7" s="25" t="n">
        <v>1058</v>
      </c>
      <c r="G7" s="25" t="n">
        <v>874</v>
      </c>
    </row>
    <row r="8">
      <c r="A8" s="24" t="inlineStr">
        <is>
          <t>Апрель</t>
        </is>
      </c>
      <c r="B8" s="25" t="n">
        <v>2384</v>
      </c>
      <c r="C8" s="25" t="n">
        <v>1991</v>
      </c>
      <c r="D8" s="25" t="n">
        <v>1334</v>
      </c>
      <c r="E8" s="25" t="n">
        <v>1110</v>
      </c>
      <c r="F8" s="25" t="n">
        <v>1018</v>
      </c>
      <c r="G8" s="25" t="n">
        <v>841</v>
      </c>
    </row>
    <row r="9">
      <c r="A9" s="24" t="inlineStr">
        <is>
          <t>Май</t>
        </is>
      </c>
      <c r="B9" s="25" t="n">
        <v>1842</v>
      </c>
      <c r="C9" s="25" t="n">
        <v>1538</v>
      </c>
      <c r="D9" s="25" t="n">
        <v>1061</v>
      </c>
      <c r="E9" s="25" t="n">
        <v>883</v>
      </c>
      <c r="F9" s="25" t="n">
        <v>776</v>
      </c>
      <c r="G9" s="25" t="n">
        <v>641</v>
      </c>
    </row>
    <row r="10">
      <c r="A10" s="24" t="inlineStr">
        <is>
          <t>Июнь</t>
        </is>
      </c>
      <c r="B10" s="25" t="n">
        <v>2078</v>
      </c>
      <c r="C10" s="25" t="n">
        <v>1735</v>
      </c>
      <c r="D10" s="25" t="n">
        <v>1278</v>
      </c>
      <c r="E10" s="25" t="n">
        <v>1064</v>
      </c>
      <c r="F10" s="25" t="n">
        <v>981</v>
      </c>
      <c r="G10" s="25" t="n">
        <v>810</v>
      </c>
    </row>
    <row r="11">
      <c r="A11" s="24" t="inlineStr">
        <is>
          <t>Июль</t>
        </is>
      </c>
      <c r="B11" s="25" t="n">
        <v>2038</v>
      </c>
      <c r="C11" s="25" t="n">
        <v>1702</v>
      </c>
      <c r="D11" s="25" t="n">
        <v>1218</v>
      </c>
      <c r="E11" s="25" t="n">
        <v>1014</v>
      </c>
      <c r="F11" s="25" t="n">
        <v>882</v>
      </c>
      <c r="G11" s="25" t="n">
        <v>729</v>
      </c>
    </row>
    <row r="12">
      <c r="A12" s="24" t="inlineStr">
        <is>
          <t>Август</t>
        </is>
      </c>
      <c r="B12" s="25" t="n">
        <v>1790</v>
      </c>
      <c r="C12" s="25" t="n">
        <v>1495</v>
      </c>
      <c r="D12" s="25" t="n">
        <v>1084</v>
      </c>
      <c r="E12" s="25" t="n">
        <v>902</v>
      </c>
      <c r="F12" s="25" t="n">
        <v>774</v>
      </c>
      <c r="G12" s="25" t="n">
        <v>639</v>
      </c>
    </row>
    <row r="13">
      <c r="A13" s="24" t="inlineStr">
        <is>
          <t>Сентябрь</t>
        </is>
      </c>
      <c r="B13" s="25" t="n">
        <v>1821</v>
      </c>
      <c r="C13" s="25" t="n">
        <v>1520</v>
      </c>
      <c r="D13" s="25" t="n">
        <v>1109</v>
      </c>
      <c r="E13" s="25" t="n">
        <v>923</v>
      </c>
      <c r="F13" s="25" t="n">
        <v>810</v>
      </c>
      <c r="G13" s="25" t="n">
        <v>669</v>
      </c>
    </row>
    <row r="14">
      <c r="A14" s="24" t="inlineStr">
        <is>
          <t>Октябрь</t>
        </is>
      </c>
      <c r="B14" s="25" t="n">
        <v>1964</v>
      </c>
      <c r="C14" s="25" t="n">
        <v>1640</v>
      </c>
      <c r="D14" s="25" t="n">
        <v>1165</v>
      </c>
      <c r="E14" s="25" t="n">
        <v>970</v>
      </c>
      <c r="F14" s="25" t="n">
        <v>866</v>
      </c>
      <c r="G14" s="25" t="n">
        <v>715</v>
      </c>
    </row>
    <row r="15">
      <c r="A15" s="24" t="inlineStr">
        <is>
          <t>Ноябрь</t>
        </is>
      </c>
      <c r="B15" s="25" t="n">
        <v>1658</v>
      </c>
      <c r="C15" s="25" t="n">
        <v>1384</v>
      </c>
      <c r="D15" s="25" t="n">
        <v>951</v>
      </c>
      <c r="E15" s="25" t="n">
        <v>792</v>
      </c>
      <c r="F15" s="25" t="n">
        <v>708</v>
      </c>
      <c r="G15" s="25" t="n">
        <v>585</v>
      </c>
    </row>
    <row r="16">
      <c r="A16" s="24" t="inlineStr">
        <is>
          <t>Декабрь</t>
        </is>
      </c>
      <c r="B16" s="25" t="n">
        <v>1523</v>
      </c>
      <c r="C16" s="25" t="n">
        <v>1272</v>
      </c>
      <c r="D16" s="25" t="n">
        <v>853</v>
      </c>
      <c r="E16" s="25" t="n">
        <v>710</v>
      </c>
      <c r="F16" s="25" t="n">
        <v>626</v>
      </c>
      <c r="G16" s="25" t="n">
        <v>517</v>
      </c>
    </row>
    <row r="17">
      <c r="A17" s="26" t="inlineStr">
        <is>
          <t>ИТОГО год</t>
        </is>
      </c>
      <c r="B17" s="27" t="n">
        <v>24088</v>
      </c>
      <c r="C17" s="27" t="n">
        <v>20113</v>
      </c>
      <c r="D17" s="27" t="n">
        <v>14394</v>
      </c>
      <c r="E17" s="27" t="n">
        <v>11981</v>
      </c>
      <c r="F17" s="27" t="n">
        <v>10731</v>
      </c>
      <c r="G17" s="27" t="n">
        <v>8864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4247510.21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4139667.24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4230686.78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5801236.93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4003480.27</v>
      </c>
      <c r="D9" s="6" t="n">
        <v>2843729.85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4119078.85</v>
      </c>
      <c r="D10" s="6" t="n"/>
      <c r="E10" s="6" t="n">
        <v>3607218.915260342</v>
      </c>
      <c r="F10" s="6" t="n">
        <v>3414149.443999988</v>
      </c>
      <c r="G10" s="6" t="n">
        <v>3757005.320959318</v>
      </c>
    </row>
    <row r="11">
      <c r="A11" s="5" t="inlineStr">
        <is>
          <t>Июль</t>
        </is>
      </c>
      <c r="B11" s="6" t="n">
        <v>3031387.357925069</v>
      </c>
      <c r="C11" s="6" t="n">
        <v>3662365.2</v>
      </c>
      <c r="D11" s="6" t="n"/>
      <c r="E11" s="6" t="n">
        <v>3413275.795122174</v>
      </c>
      <c r="F11" s="6" t="n">
        <v>2957435.793999986</v>
      </c>
      <c r="G11" s="6" t="n">
        <v>3742756.726020012</v>
      </c>
    </row>
    <row r="12">
      <c r="A12" s="5" t="inlineStr">
        <is>
          <t>Август</t>
        </is>
      </c>
      <c r="B12" s="6" t="n">
        <v>2992991.751534346</v>
      </c>
      <c r="C12" s="6" t="n">
        <v>3036270.56</v>
      </c>
      <c r="D12" s="6" t="n"/>
      <c r="E12" s="6" t="n">
        <v>3136636.550911444</v>
      </c>
      <c r="F12" s="6" t="n">
        <v>2331341.153999985</v>
      </c>
      <c r="G12" s="6" t="n">
        <v>3695350.902513886</v>
      </c>
    </row>
    <row r="13">
      <c r="A13" s="5" t="inlineStr">
        <is>
          <t>Сентябрь</t>
        </is>
      </c>
      <c r="B13" s="6" t="n">
        <v>2901984.613445907</v>
      </c>
      <c r="C13" s="6" t="n">
        <v>3091534.05</v>
      </c>
      <c r="D13" s="6" t="n"/>
      <c r="E13" s="6" t="n">
        <v>3113955.313009272</v>
      </c>
      <c r="F13" s="6" t="n">
        <v>2386604.643999983</v>
      </c>
      <c r="G13" s="6" t="n">
        <v>3680312.910176613</v>
      </c>
    </row>
    <row r="14">
      <c r="A14" s="5" t="inlineStr">
        <is>
          <t>Октябрь</t>
        </is>
      </c>
      <c r="B14" s="6" t="n">
        <v>3277976.709883101</v>
      </c>
      <c r="C14" s="6" t="n">
        <v>3457517.25</v>
      </c>
      <c r="D14" s="6" t="n"/>
      <c r="E14" s="6" t="n">
        <v>3449607.984927707</v>
      </c>
      <c r="F14" s="6" t="n">
        <v>2752587.843999983</v>
      </c>
      <c r="G14" s="6" t="n">
        <v>4047212.688466714</v>
      </c>
    </row>
    <row r="15">
      <c r="A15" s="5" t="inlineStr">
        <is>
          <t>Ноябрь</t>
        </is>
      </c>
      <c r="B15" s="6" t="n">
        <v>3197016.051724652</v>
      </c>
      <c r="C15" s="6" t="n">
        <v>2915834.57</v>
      </c>
      <c r="D15" s="6" t="n"/>
      <c r="E15" s="6" t="n">
        <v>3186874.829107625</v>
      </c>
      <c r="F15" s="6" t="n">
        <v>2210905.163999981</v>
      </c>
      <c r="G15" s="6" t="n">
        <v>3947253.161000401</v>
      </c>
    </row>
    <row r="16">
      <c r="A16" s="5" t="inlineStr">
        <is>
          <t>Декабрь</t>
        </is>
      </c>
      <c r="B16" s="6" t="n">
        <v>3794301.338165053</v>
      </c>
      <c r="C16" s="6" t="n">
        <v>5425472.9</v>
      </c>
      <c r="D16" s="6" t="n"/>
      <c r="E16" s="6" t="n">
        <v>4512343.748466134</v>
      </c>
      <c r="F16" s="6" t="n">
        <v>3674639.974324989</v>
      </c>
      <c r="G16" s="6" t="n">
        <v>4720543.493999979</v>
      </c>
    </row>
    <row r="17">
      <c r="A17" s="13" t="inlineStr">
        <is>
          <t>ИТОГО год</t>
        </is>
      </c>
      <c r="B17" s="14" t="n">
        <v>37544672.43728799</v>
      </c>
      <c r="C17" s="13" t="n"/>
      <c r="D17" s="14" t="n">
        <v>18897934.4</v>
      </c>
      <c r="E17" s="14" t="n">
        <v>43317847.53680471</v>
      </c>
      <c r="F17" s="14" t="n">
        <v>38625598.4183249</v>
      </c>
      <c r="G17" s="14" t="n">
        <v>46488369.60313693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553.1295998444964</v>
      </c>
      <c r="C5" s="11" t="n">
        <v>925</v>
      </c>
      <c r="D5" s="11" t="n">
        <v>712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611.4680998825025</v>
      </c>
      <c r="C6" s="11" t="n">
        <v>800</v>
      </c>
      <c r="D6" s="11" t="n">
        <v>699</v>
      </c>
      <c r="E6" s="11" t="n"/>
      <c r="F6" s="11" t="n"/>
      <c r="G6" s="11" t="n"/>
    </row>
    <row r="7">
      <c r="A7" s="5" t="inlineStr">
        <is>
          <t>Март</t>
        </is>
      </c>
      <c r="B7" s="11" t="n">
        <v>621.6022998825026</v>
      </c>
      <c r="C7" s="11" t="n">
        <v>785</v>
      </c>
      <c r="D7" s="11" t="n">
        <v>711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637.577022890739</v>
      </c>
      <c r="C8" s="11" t="n">
        <v>1013</v>
      </c>
      <c r="D8" s="11" t="n">
        <v>576</v>
      </c>
      <c r="E8" s="11" t="n"/>
      <c r="F8" s="11" t="n"/>
      <c r="G8" s="11" t="n"/>
    </row>
    <row r="9">
      <c r="A9" s="5" t="inlineStr">
        <is>
          <t>Май</t>
        </is>
      </c>
      <c r="B9" s="11" t="n">
        <v>584.6209227040131</v>
      </c>
      <c r="C9" s="11" t="n">
        <v>866</v>
      </c>
      <c r="D9" s="11" t="n">
        <v>489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597.8854260369515</v>
      </c>
      <c r="C10" s="11" t="n">
        <v>726</v>
      </c>
      <c r="D10" s="11" t="n"/>
      <c r="E10" s="11" t="n">
        <v>574.3371580430527</v>
      </c>
      <c r="F10" s="11" t="n">
        <v>485.5999999999999</v>
      </c>
      <c r="G10" s="11" t="n">
        <v>633.3805857756607</v>
      </c>
    </row>
    <row r="11">
      <c r="A11" s="5" t="inlineStr">
        <is>
          <t>Июль</t>
        </is>
      </c>
      <c r="B11" s="11" t="n">
        <v>594.5740260369514</v>
      </c>
      <c r="C11" s="11" t="n">
        <v>627</v>
      </c>
      <c r="D11" s="11" t="n"/>
      <c r="E11" s="11" t="n">
        <v>534.6838385656411</v>
      </c>
      <c r="F11" s="11" t="n">
        <v>386.6</v>
      </c>
      <c r="G11" s="11" t="n">
        <v>629.8725951466871</v>
      </c>
    </row>
    <row r="12">
      <c r="A12" s="5" t="inlineStr">
        <is>
          <t>Август</t>
        </is>
      </c>
      <c r="B12" s="11" t="n">
        <v>584.9120258783644</v>
      </c>
      <c r="C12" s="11" t="n">
        <v>586</v>
      </c>
      <c r="D12" s="11" t="n"/>
      <c r="E12" s="11" t="n">
        <v>514.5393659549742</v>
      </c>
      <c r="F12" s="11" t="n">
        <v>345.6000000000001</v>
      </c>
      <c r="G12" s="11" t="n">
        <v>619.6369830148199</v>
      </c>
    </row>
    <row r="13">
      <c r="A13" s="5" t="inlineStr">
        <is>
          <t>Сентябрь</t>
        </is>
      </c>
      <c r="B13" s="11" t="n">
        <v>573.0697258783644</v>
      </c>
      <c r="C13" s="11" t="n">
        <v>561</v>
      </c>
      <c r="D13" s="11" t="n"/>
      <c r="E13" s="11" t="n">
        <v>499.6359641188786</v>
      </c>
      <c r="F13" s="11" t="n">
        <v>320.5999999999999</v>
      </c>
      <c r="G13" s="11" t="n">
        <v>607.0916313733709</v>
      </c>
    </row>
    <row r="14">
      <c r="A14" s="5" t="inlineStr">
        <is>
          <t>Октябрь</t>
        </is>
      </c>
      <c r="B14" s="11" t="n">
        <v>641.4724260369514</v>
      </c>
      <c r="C14" s="11" t="n">
        <v>603</v>
      </c>
      <c r="D14" s="11" t="n"/>
      <c r="E14" s="11" t="n">
        <v>544.3503545490897</v>
      </c>
      <c r="F14" s="11" t="n">
        <v>362.6</v>
      </c>
      <c r="G14" s="11" t="n">
        <v>679.5552513385867</v>
      </c>
    </row>
    <row r="15">
      <c r="A15" s="5" t="inlineStr">
        <is>
          <t>Ноябрь</t>
        </is>
      </c>
      <c r="B15" s="11" t="n">
        <v>628.7328258882317</v>
      </c>
      <c r="C15" s="11" t="n">
        <v>511</v>
      </c>
      <c r="D15" s="11" t="n"/>
      <c r="E15" s="11" t="n">
        <v>503.5992871742177</v>
      </c>
      <c r="F15" s="11" t="n">
        <v>270.6</v>
      </c>
      <c r="G15" s="11" t="n">
        <v>666.0593287866208</v>
      </c>
    </row>
    <row r="16">
      <c r="A16" s="5" t="inlineStr">
        <is>
          <t>Декабрь</t>
        </is>
      </c>
      <c r="B16" s="11" t="n">
        <v>746.2209264145296</v>
      </c>
      <c r="C16" s="11" t="n">
        <v>959</v>
      </c>
      <c r="D16" s="11" t="n"/>
      <c r="E16" s="11" t="n">
        <v>724.0971884403589</v>
      </c>
      <c r="F16" s="11" t="n">
        <v>600.51800642271</v>
      </c>
      <c r="G16" s="11" t="n">
        <v>790.5224427753153</v>
      </c>
    </row>
    <row r="17">
      <c r="A17" s="13" t="inlineStr">
        <is>
          <t>ИТОГО год</t>
        </is>
      </c>
      <c r="B17" s="15" t="n">
        <v>7375.265327374596</v>
      </c>
      <c r="C17" s="13" t="n"/>
      <c r="D17" s="15" t="n">
        <v>3187</v>
      </c>
      <c r="E17" s="15" t="n">
        <v>7082.243156846213</v>
      </c>
      <c r="F17" s="15" t="n">
        <v>5959.11800642271</v>
      </c>
      <c r="G17" s="15" t="n">
        <v>7813.118818211061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ОФД — лиды 2026, помесячно (мой прогноз = оплаты ÷ CR2)</t>
        </is>
      </c>
    </row>
    <row r="2">
      <c r="A2" s="22" t="inlineStr">
        <is>
          <t>CR2 лид→оплата = 46%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1202</v>
      </c>
      <c r="C5" s="25" t="n">
        <v>2011</v>
      </c>
      <c r="D5" s="25" t="n">
        <v>1548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1329</v>
      </c>
      <c r="C6" s="25" t="n">
        <v>1739</v>
      </c>
      <c r="D6" s="25" t="n">
        <v>1520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1351</v>
      </c>
      <c r="C7" s="25" t="n">
        <v>1707</v>
      </c>
      <c r="D7" s="25" t="n">
        <v>1546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1386</v>
      </c>
      <c r="C8" s="25" t="n">
        <v>2202</v>
      </c>
      <c r="D8" s="25" t="n">
        <v>1252</v>
      </c>
      <c r="E8" s="25" t="n"/>
      <c r="F8" s="25" t="n"/>
      <c r="G8" s="25" t="n"/>
    </row>
    <row r="9">
      <c r="A9" s="24" t="inlineStr">
        <is>
          <t>Май</t>
        </is>
      </c>
      <c r="B9" s="25" t="n">
        <v>1271</v>
      </c>
      <c r="C9" s="25" t="n">
        <v>1883</v>
      </c>
      <c r="D9" s="25" t="n">
        <v>1063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1300</v>
      </c>
      <c r="C10" s="25" t="n">
        <v>1578</v>
      </c>
      <c r="D10" s="25" t="n"/>
      <c r="E10" s="25" t="n">
        <v>1249</v>
      </c>
      <c r="F10" s="25" t="n">
        <v>1056</v>
      </c>
      <c r="G10" s="25" t="n">
        <v>1377</v>
      </c>
    </row>
    <row r="11">
      <c r="A11" s="24" t="inlineStr">
        <is>
          <t>Июль</t>
        </is>
      </c>
      <c r="B11" s="25" t="n">
        <v>1293</v>
      </c>
      <c r="C11" s="25" t="n">
        <v>1363</v>
      </c>
      <c r="D11" s="25" t="n"/>
      <c r="E11" s="25" t="n">
        <v>1162</v>
      </c>
      <c r="F11" s="25" t="n">
        <v>840</v>
      </c>
      <c r="G11" s="25" t="n">
        <v>1369</v>
      </c>
    </row>
    <row r="12">
      <c r="A12" s="24" t="inlineStr">
        <is>
          <t>Август</t>
        </is>
      </c>
      <c r="B12" s="25" t="n">
        <v>1272</v>
      </c>
      <c r="C12" s="25" t="n">
        <v>1274</v>
      </c>
      <c r="D12" s="25" t="n"/>
      <c r="E12" s="25" t="n">
        <v>1119</v>
      </c>
      <c r="F12" s="25" t="n">
        <v>751</v>
      </c>
      <c r="G12" s="25" t="n">
        <v>1347</v>
      </c>
    </row>
    <row r="13">
      <c r="A13" s="24" t="inlineStr">
        <is>
          <t>Сентябрь</t>
        </is>
      </c>
      <c r="B13" s="25" t="n">
        <v>1246</v>
      </c>
      <c r="C13" s="25" t="n">
        <v>1220</v>
      </c>
      <c r="D13" s="25" t="n"/>
      <c r="E13" s="25" t="n">
        <v>1086</v>
      </c>
      <c r="F13" s="25" t="n">
        <v>697</v>
      </c>
      <c r="G13" s="25" t="n">
        <v>1320</v>
      </c>
    </row>
    <row r="14">
      <c r="A14" s="24" t="inlineStr">
        <is>
          <t>Октябрь</t>
        </is>
      </c>
      <c r="B14" s="25" t="n">
        <v>1395</v>
      </c>
      <c r="C14" s="25" t="n">
        <v>1311</v>
      </c>
      <c r="D14" s="25" t="n"/>
      <c r="E14" s="25" t="n">
        <v>1183</v>
      </c>
      <c r="F14" s="25" t="n">
        <v>788</v>
      </c>
      <c r="G14" s="25" t="n">
        <v>1477</v>
      </c>
    </row>
    <row r="15">
      <c r="A15" s="24" t="inlineStr">
        <is>
          <t>Ноябрь</t>
        </is>
      </c>
      <c r="B15" s="25" t="n">
        <v>1367</v>
      </c>
      <c r="C15" s="25" t="n">
        <v>1111</v>
      </c>
      <c r="D15" s="25" t="n"/>
      <c r="E15" s="25" t="n">
        <v>1095</v>
      </c>
      <c r="F15" s="25" t="n">
        <v>588</v>
      </c>
      <c r="G15" s="25" t="n">
        <v>1448</v>
      </c>
    </row>
    <row r="16">
      <c r="A16" s="24" t="inlineStr">
        <is>
          <t>Декабрь</t>
        </is>
      </c>
      <c r="B16" s="25" t="n">
        <v>1622</v>
      </c>
      <c r="C16" s="25" t="n">
        <v>2085</v>
      </c>
      <c r="D16" s="25" t="n"/>
      <c r="E16" s="25" t="n">
        <v>1574</v>
      </c>
      <c r="F16" s="25" t="n">
        <v>1305</v>
      </c>
      <c r="G16" s="25" t="n">
        <v>1719</v>
      </c>
    </row>
    <row r="17">
      <c r="A17" s="26" t="inlineStr">
        <is>
          <t>ИТОГО год</t>
        </is>
      </c>
      <c r="B17" s="27" t="n">
        <v>16033</v>
      </c>
      <c r="C17" s="27" t="n"/>
      <c r="D17" s="27" t="n">
        <v>6928</v>
      </c>
      <c r="E17" s="27" t="n">
        <v>15396</v>
      </c>
      <c r="F17" s="27" t="n">
        <v>12955</v>
      </c>
      <c r="G17" s="27" t="n">
        <v>16985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6" customWidth="1" min="5" max="5"/>
    <col width="15" customWidth="1" min="6" max="6"/>
    <col width="17" customWidth="1" min="7" max="7"/>
  </cols>
  <sheetData>
    <row r="1">
      <c r="A1" s="21" t="inlineStr">
        <is>
          <t>ОФД — горячие заявки, помесячно</t>
        </is>
      </c>
    </row>
    <row r="2">
      <c r="A2" s="22" t="inlineStr">
        <is>
          <t>Воронка: всего → горячие → горячие без поставки/счёта · 2025 факт, 2026 — мой прогноз (ансамбль от факта 2025) · YoY горячих -14%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 (прогноз)</t>
        </is>
      </c>
      <c r="D4" s="28" t="inlineStr">
        <is>
          <t>Горячих 2025</t>
        </is>
      </c>
      <c r="E4" s="28" t="inlineStr">
        <is>
          <t>Горячих 2026 (прогноз)</t>
        </is>
      </c>
      <c r="F4" s="28" t="inlineStr">
        <is>
          <t>Без поставки 2025</t>
        </is>
      </c>
      <c r="G4" s="28" t="inlineStr">
        <is>
          <t>Без поставки 2026 (прогноз)</t>
        </is>
      </c>
    </row>
    <row r="5">
      <c r="A5" s="24" t="inlineStr">
        <is>
          <t>Январь</t>
        </is>
      </c>
      <c r="B5" s="25" t="n">
        <v>1133</v>
      </c>
      <c r="C5" s="25" t="n">
        <v>1025</v>
      </c>
      <c r="D5" s="25" t="n">
        <v>508</v>
      </c>
      <c r="E5" s="25" t="n">
        <v>438</v>
      </c>
      <c r="F5" s="25" t="n">
        <v>267</v>
      </c>
      <c r="G5" s="25" t="n">
        <v>217</v>
      </c>
    </row>
    <row r="6">
      <c r="A6" s="24" t="inlineStr">
        <is>
          <t>Февраль</t>
        </is>
      </c>
      <c r="B6" s="25" t="n">
        <v>1340</v>
      </c>
      <c r="C6" s="25" t="n">
        <v>1212</v>
      </c>
      <c r="D6" s="25" t="n">
        <v>580</v>
      </c>
      <c r="E6" s="25" t="n">
        <v>500</v>
      </c>
      <c r="F6" s="25" t="n">
        <v>266</v>
      </c>
      <c r="G6" s="25" t="n">
        <v>217</v>
      </c>
    </row>
    <row r="7">
      <c r="A7" s="24" t="inlineStr">
        <is>
          <t>Март</t>
        </is>
      </c>
      <c r="B7" s="25" t="n">
        <v>1407</v>
      </c>
      <c r="C7" s="25" t="n">
        <v>1273</v>
      </c>
      <c r="D7" s="25" t="n">
        <v>573</v>
      </c>
      <c r="E7" s="25" t="n">
        <v>494</v>
      </c>
      <c r="F7" s="25" t="n">
        <v>295</v>
      </c>
      <c r="G7" s="25" t="n">
        <v>240</v>
      </c>
    </row>
    <row r="8">
      <c r="A8" s="24" t="inlineStr">
        <is>
          <t>Апрель</t>
        </is>
      </c>
      <c r="B8" s="25" t="n">
        <v>1388</v>
      </c>
      <c r="C8" s="25" t="n">
        <v>1256</v>
      </c>
      <c r="D8" s="25" t="n">
        <v>601</v>
      </c>
      <c r="E8" s="25" t="n">
        <v>518</v>
      </c>
      <c r="F8" s="25" t="n">
        <v>288</v>
      </c>
      <c r="G8" s="25" t="n">
        <v>234</v>
      </c>
    </row>
    <row r="9">
      <c r="A9" s="24" t="inlineStr">
        <is>
          <t>Май</t>
        </is>
      </c>
      <c r="B9" s="25" t="n">
        <v>1349</v>
      </c>
      <c r="C9" s="25" t="n">
        <v>1221</v>
      </c>
      <c r="D9" s="25" t="n">
        <v>598</v>
      </c>
      <c r="E9" s="25" t="n">
        <v>516</v>
      </c>
      <c r="F9" s="25" t="n">
        <v>247</v>
      </c>
      <c r="G9" s="25" t="n">
        <v>201</v>
      </c>
    </row>
    <row r="10">
      <c r="A10" s="24" t="inlineStr">
        <is>
          <t>Июнь</t>
        </is>
      </c>
      <c r="B10" s="25" t="n">
        <v>1612</v>
      </c>
      <c r="C10" s="25" t="n">
        <v>1459</v>
      </c>
      <c r="D10" s="25" t="n">
        <v>740</v>
      </c>
      <c r="E10" s="25" t="n">
        <v>638</v>
      </c>
      <c r="F10" s="25" t="n">
        <v>319</v>
      </c>
      <c r="G10" s="25" t="n">
        <v>260</v>
      </c>
    </row>
    <row r="11">
      <c r="A11" s="24" t="inlineStr">
        <is>
          <t>Июль</t>
        </is>
      </c>
      <c r="B11" s="25" t="n">
        <v>1612</v>
      </c>
      <c r="C11" s="25" t="n">
        <v>1459</v>
      </c>
      <c r="D11" s="25" t="n">
        <v>739</v>
      </c>
      <c r="E11" s="25" t="n">
        <v>637</v>
      </c>
      <c r="F11" s="25" t="n">
        <v>295</v>
      </c>
      <c r="G11" s="25" t="n">
        <v>240</v>
      </c>
    </row>
    <row r="12">
      <c r="A12" s="24" t="inlineStr">
        <is>
          <t>Август</t>
        </is>
      </c>
      <c r="B12" s="25" t="n">
        <v>1436</v>
      </c>
      <c r="C12" s="25" t="n">
        <v>1299</v>
      </c>
      <c r="D12" s="25" t="n">
        <v>599</v>
      </c>
      <c r="E12" s="25" t="n">
        <v>517</v>
      </c>
      <c r="F12" s="25" t="n">
        <v>286</v>
      </c>
      <c r="G12" s="25" t="n">
        <v>233</v>
      </c>
    </row>
    <row r="13">
      <c r="A13" s="24" t="inlineStr">
        <is>
          <t>Сентябрь</t>
        </is>
      </c>
      <c r="B13" s="25" t="n">
        <v>1422</v>
      </c>
      <c r="C13" s="25" t="n">
        <v>1287</v>
      </c>
      <c r="D13" s="25" t="n">
        <v>598</v>
      </c>
      <c r="E13" s="25" t="n">
        <v>516</v>
      </c>
      <c r="F13" s="25" t="n">
        <v>282</v>
      </c>
      <c r="G13" s="25" t="n">
        <v>230</v>
      </c>
    </row>
    <row r="14">
      <c r="A14" s="24" t="inlineStr">
        <is>
          <t>Октябрь</t>
        </is>
      </c>
      <c r="B14" s="25" t="n">
        <v>1233</v>
      </c>
      <c r="C14" s="25" t="n">
        <v>1116</v>
      </c>
      <c r="D14" s="25" t="n">
        <v>499</v>
      </c>
      <c r="E14" s="25" t="n">
        <v>430</v>
      </c>
      <c r="F14" s="25" t="n">
        <v>204</v>
      </c>
      <c r="G14" s="25" t="n">
        <v>166</v>
      </c>
    </row>
    <row r="15">
      <c r="A15" s="24" t="inlineStr">
        <is>
          <t>Ноябрь</t>
        </is>
      </c>
      <c r="B15" s="25" t="n">
        <v>1092</v>
      </c>
      <c r="C15" s="25" t="n">
        <v>988</v>
      </c>
      <c r="D15" s="25" t="n">
        <v>403</v>
      </c>
      <c r="E15" s="25" t="n">
        <v>348</v>
      </c>
      <c r="F15" s="25" t="n">
        <v>184</v>
      </c>
      <c r="G15" s="25" t="n">
        <v>150</v>
      </c>
    </row>
    <row r="16">
      <c r="A16" s="24" t="inlineStr">
        <is>
          <t>Декабрь</t>
        </is>
      </c>
      <c r="B16" s="25" t="n">
        <v>1003</v>
      </c>
      <c r="C16" s="25" t="n">
        <v>907</v>
      </c>
      <c r="D16" s="25" t="n">
        <v>398</v>
      </c>
      <c r="E16" s="25" t="n">
        <v>343</v>
      </c>
      <c r="F16" s="25" t="n">
        <v>175</v>
      </c>
      <c r="G16" s="25" t="n">
        <v>142</v>
      </c>
    </row>
    <row r="17">
      <c r="A17" s="26" t="inlineStr">
        <is>
          <t>ИТОГО год</t>
        </is>
      </c>
      <c r="B17" s="27" t="n">
        <v>16027</v>
      </c>
      <c r="C17" s="27" t="n">
        <v>14502</v>
      </c>
      <c r="D17" s="27" t="n">
        <v>6836</v>
      </c>
      <c r="E17" s="27" t="n">
        <v>5895</v>
      </c>
      <c r="F17" s="27" t="n">
        <v>3108</v>
      </c>
      <c r="G17" s="27" t="n">
        <v>2530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3"/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107967248.3546386</v>
      </c>
      <c r="C5" s="6" t="n">
        <v>46355202.65119191</v>
      </c>
    </row>
    <row r="6">
      <c r="A6" s="5" t="inlineStr">
        <is>
          <t>Сезонный YoY</t>
        </is>
      </c>
      <c r="B6" s="6" t="n">
        <v>97631341.61583415</v>
      </c>
      <c r="C6" s="6" t="n">
        <v>40564908.19614005</v>
      </c>
    </row>
    <row r="7">
      <c r="A7" s="5" t="inlineStr">
        <is>
          <t>ETS / Holt</t>
        </is>
      </c>
      <c r="B7" s="6" t="n">
        <v>102360063.267196</v>
      </c>
      <c r="C7" s="6" t="n">
        <v>44668260.26461965</v>
      </c>
    </row>
    <row r="8">
      <c r="A8" s="5" t="inlineStr">
        <is>
          <t>Регрессия+сезон</t>
        </is>
      </c>
      <c r="B8" s="6" t="n">
        <v>95234846.80000003</v>
      </c>
      <c r="C8" s="6" t="n">
        <v>39671501.93799989</v>
      </c>
    </row>
    <row r="9">
      <c r="A9" s="16" t="inlineStr">
        <is>
          <t>АНСАМБЛЬ (база)</t>
        </is>
      </c>
      <c r="B9" s="14" t="n">
        <v>108326039</v>
      </c>
      <c r="C9" s="14" t="n">
        <v>43317847.53680471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ОФД расход</t>
        </is>
      </c>
      <c r="G4" s="4" t="inlineStr">
        <is>
          <t>ОФД опл.</t>
        </is>
      </c>
      <c r="H4" s="4" t="inlineStr">
        <is>
          <t>ОФД CPO</t>
        </is>
      </c>
      <c r="I4" s="4" t="inlineStr">
        <is>
          <t>ОФД CPL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349519</v>
      </c>
      <c r="G5" s="5" t="n">
        <v>40</v>
      </c>
      <c r="H5" s="6" t="n">
        <v>8738</v>
      </c>
      <c r="I5" s="6" t="n">
        <v>2608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417835</v>
      </c>
      <c r="G6" s="5" t="n">
        <v>35</v>
      </c>
      <c r="H6" s="6" t="n">
        <v>11938</v>
      </c>
      <c r="I6" s="6" t="n">
        <v>4096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457771</v>
      </c>
      <c r="G7" s="5" t="n">
        <v>20</v>
      </c>
      <c r="H7" s="6" t="n">
        <v>22889</v>
      </c>
      <c r="I7" s="6" t="n">
        <v>4976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586537</v>
      </c>
      <c r="G8" s="5" t="n">
        <v>17</v>
      </c>
      <c r="H8" s="6" t="n">
        <v>34502</v>
      </c>
      <c r="I8" s="6" t="n">
        <v>8626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524111</v>
      </c>
      <c r="G9" s="5" t="n">
        <v>11</v>
      </c>
      <c r="H9" s="6" t="n">
        <v>47646</v>
      </c>
      <c r="I9" s="6" t="n">
        <v>10079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426952</v>
      </c>
      <c r="G10" s="5" t="n">
        <v>8</v>
      </c>
      <c r="H10" s="6" t="n">
        <v>53369</v>
      </c>
      <c r="I10" s="6" t="n">
        <v>9282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356743</v>
      </c>
      <c r="G11" s="5" t="n">
        <v>24</v>
      </c>
      <c r="H11" s="6" t="n">
        <v>14864</v>
      </c>
      <c r="I11" s="6" t="n">
        <v>4694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367080</v>
      </c>
      <c r="G12" s="5" t="n">
        <v>19</v>
      </c>
      <c r="H12" s="6" t="n">
        <v>19320</v>
      </c>
      <c r="I12" s="6" t="n">
        <v>4706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405867</v>
      </c>
      <c r="G13" s="5" t="n">
        <v>20</v>
      </c>
      <c r="H13" s="6" t="n">
        <v>20293</v>
      </c>
      <c r="I13" s="6" t="n">
        <v>4560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460200</v>
      </c>
      <c r="G14" s="5" t="n">
        <v>21</v>
      </c>
      <c r="H14" s="6" t="n">
        <v>21914</v>
      </c>
      <c r="I14" s="6" t="n">
        <v>5171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432649</v>
      </c>
      <c r="G15" s="5" t="n">
        <v>23</v>
      </c>
      <c r="H15" s="6" t="n">
        <v>18811</v>
      </c>
      <c r="I15" s="6" t="n">
        <v>4973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386677</v>
      </c>
      <c r="G16" s="5" t="n">
        <v>30</v>
      </c>
      <c r="H16" s="6" t="n">
        <v>12889</v>
      </c>
      <c r="I16" s="6" t="n">
        <v>3906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415847</v>
      </c>
      <c r="G17" s="5" t="n">
        <v>32</v>
      </c>
      <c r="H17" s="6" t="n">
        <v>12995</v>
      </c>
      <c r="I17" s="6" t="n">
        <v>3465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386770</v>
      </c>
      <c r="G18" s="5" t="n">
        <v>29</v>
      </c>
      <c r="H18" s="6" t="n">
        <v>13337</v>
      </c>
      <c r="I18" s="6" t="n">
        <v>3484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423647</v>
      </c>
      <c r="G19" s="5" t="n">
        <v>25</v>
      </c>
      <c r="H19" s="6" t="n">
        <v>16946</v>
      </c>
      <c r="I19" s="6" t="n">
        <v>3560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390294</v>
      </c>
      <c r="G20" s="5" t="n">
        <v>21</v>
      </c>
      <c r="H20" s="6" t="n">
        <v>18585</v>
      </c>
      <c r="I20" s="6" t="n">
        <v>3199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262720</v>
      </c>
      <c r="G21" s="5" t="n">
        <v>18</v>
      </c>
      <c r="H21" s="6" t="n">
        <v>14596</v>
      </c>
      <c r="I21" s="6" t="n">
        <v>4042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52264</v>
      </c>
      <c r="G22" s="5" t="n">
        <v>4</v>
      </c>
      <c r="H22" s="6" t="n">
        <v>13066</v>
      </c>
      <c r="I22" s="6" t="n">
        <v>1936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Методология прогноза 2026 — Маркет и ОФД</t>
        </is>
      </c>
    </row>
    <row r="2">
      <c r="A2" s="18" t="inlineStr"/>
    </row>
    <row r="3">
      <c r="A3" s="19" t="inlineStr">
        <is>
          <t>1. ИСТОЧНИКИ ДАННЫХ</t>
        </is>
      </c>
    </row>
    <row r="4">
      <c r="A4" s="18" t="inlineStr">
        <is>
          <t>• Царь свод все разрезы.xlsx — помесячный план и факт по проектам.</t>
        </is>
      </c>
    </row>
    <row r="5">
      <c r="A5" s="18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8" t="inlineStr">
        <is>
          <t>• data (15).xlsx — рекламный факт (целевые лиды по продукту): выручка и оплаты по месяцам.</t>
        </is>
      </c>
    </row>
    <row r="7">
      <c r="A7" s="18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8" t="inlineStr"/>
    </row>
    <row r="9">
      <c r="A9" s="19" t="inlineStr">
        <is>
          <t>2. ГОРИЗОНТ И ОБУЧАЮЩАЯ ВЫБОРКА</t>
        </is>
      </c>
    </row>
    <row r="10">
      <c r="A10" s="18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8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8" t="inlineStr"/>
    </row>
    <row r="13">
      <c r="A13" s="19" t="inlineStr">
        <is>
          <t>3. МОДЕЛИ (считаются независимо, затем ансамбль)</t>
        </is>
      </c>
    </row>
    <row r="14">
      <c r="A14" s="18" t="inlineStr">
        <is>
          <t>• Plan-pacing: оставшийся месяц = план месяца × (факт YTD ÷ план YTD).</t>
        </is>
      </c>
    </row>
    <row r="15">
      <c r="A15" s="18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8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8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8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8" t="inlineStr"/>
    </row>
    <row r="20">
      <c r="A20" s="19" t="inlineStr">
        <is>
          <t>4. АНСАМБЛЬ И СЦЕНАРИИ</t>
        </is>
      </c>
    </row>
    <row r="21">
      <c r="A21" s="18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8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8" t="inlineStr">
        <is>
          <t>• Отрицательные прогнозы обнуляются.</t>
        </is>
      </c>
    </row>
    <row r="24">
      <c r="A24" s="18" t="inlineStr"/>
    </row>
    <row r="25">
      <c r="A25" s="19" t="inlineStr">
        <is>
          <t>5. ВЫПОЛНЕНИЕ ПЛАНА</t>
        </is>
      </c>
    </row>
    <row r="26">
      <c r="A26" s="18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8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8" t="inlineStr"/>
    </row>
    <row r="29">
      <c r="A29" s="19" t="inlineStr">
        <is>
          <t>6. ОГРАНИЧЕНИЯ</t>
        </is>
      </c>
    </row>
    <row r="30">
      <c r="A30" s="18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8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8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0" t="n">
        <v>9780158</v>
      </c>
      <c r="E4" s="20" t="n">
        <v>9456800</v>
      </c>
      <c r="F4" s="20" t="n">
        <v>10981834</v>
      </c>
      <c r="G4" s="20" t="n">
        <v>10450826</v>
      </c>
      <c r="H4" s="20" t="n">
        <v>8364989</v>
      </c>
      <c r="I4" s="20" t="n">
        <v>10320988</v>
      </c>
      <c r="J4" s="20" t="n">
        <v>10125275</v>
      </c>
      <c r="K4" s="20" t="n">
        <v>9011271</v>
      </c>
      <c r="L4" s="20" t="n">
        <v>8788064</v>
      </c>
      <c r="M4" s="20" t="n">
        <v>9948492</v>
      </c>
      <c r="N4" s="20" t="n">
        <v>9708061</v>
      </c>
      <c r="O4" s="20" t="n">
        <v>12102845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0" t="n">
        <v>10566339</v>
      </c>
      <c r="E5" s="20" t="n">
        <v>10162594</v>
      </c>
      <c r="F5" s="20" t="n">
        <v>11323288</v>
      </c>
      <c r="G5" s="20" t="n">
        <v>14129486</v>
      </c>
      <c r="H5" s="20" t="n">
        <v>9997066</v>
      </c>
      <c r="I5" s="20" t="n">
        <v>11423141</v>
      </c>
      <c r="J5" s="20" t="n">
        <v>9919931</v>
      </c>
      <c r="K5" s="20" t="n">
        <v>7919160</v>
      </c>
      <c r="L5" s="20" t="n">
        <v>9186864</v>
      </c>
      <c r="M5" s="20" t="n">
        <v>8738891</v>
      </c>
      <c r="N5" s="20" t="n">
        <v>7976369</v>
      </c>
      <c r="O5" s="20" t="n">
        <v>11983893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0" t="n">
        <v>8241025</v>
      </c>
      <c r="E6" s="20" t="n">
        <v>9199025</v>
      </c>
      <c r="F6" s="20" t="n">
        <v>10261583</v>
      </c>
      <c r="G6" s="20" t="n">
        <v>8993089</v>
      </c>
      <c r="H6" s="20" t="n">
        <v>7778978</v>
      </c>
      <c r="I6" s="20" t="n">
        <v>3207489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0" t="n">
        <v>2810130</v>
      </c>
      <c r="E7" s="20" t="n">
        <v>3106809</v>
      </c>
      <c r="F7" s="20" t="n">
        <v>3178600</v>
      </c>
      <c r="G7" s="20" t="n">
        <v>3241747</v>
      </c>
      <c r="H7" s="20" t="n">
        <v>2968801</v>
      </c>
      <c r="I7" s="20" t="n">
        <v>3042928</v>
      </c>
      <c r="J7" s="20" t="n">
        <v>3031387</v>
      </c>
      <c r="K7" s="20" t="n">
        <v>2992992</v>
      </c>
      <c r="L7" s="20" t="n">
        <v>2901985</v>
      </c>
      <c r="M7" s="20" t="n">
        <v>3277977</v>
      </c>
      <c r="N7" s="20" t="n">
        <v>3197016</v>
      </c>
      <c r="O7" s="20" t="n">
        <v>3794301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0" t="n">
        <v>4247510</v>
      </c>
      <c r="E8" s="20" t="n">
        <v>4139667</v>
      </c>
      <c r="F8" s="20" t="n">
        <v>4230687</v>
      </c>
      <c r="G8" s="20" t="n">
        <v>5801237</v>
      </c>
      <c r="H8" s="20" t="n">
        <v>4003480</v>
      </c>
      <c r="I8" s="20" t="n">
        <v>4119079</v>
      </c>
      <c r="J8" s="20" t="n">
        <v>3662365</v>
      </c>
      <c r="K8" s="20" t="n">
        <v>3036271</v>
      </c>
      <c r="L8" s="20" t="n">
        <v>3091534</v>
      </c>
      <c r="M8" s="20" t="n">
        <v>3457517</v>
      </c>
      <c r="N8" s="20" t="n">
        <v>2915835</v>
      </c>
      <c r="O8" s="20" t="n">
        <v>5425473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0" t="n">
        <v>4051268</v>
      </c>
      <c r="E9" s="20" t="n">
        <v>4117291</v>
      </c>
      <c r="F9" s="20" t="n">
        <v>4177257</v>
      </c>
      <c r="G9" s="20" t="n">
        <v>3708388</v>
      </c>
      <c r="H9" s="20" t="n">
        <v>2843730</v>
      </c>
      <c r="I9" s="20" t="n">
        <v>1188408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2026-06-15T06:56:11Z</dcterms:created>
  <dcterms:modified xmlns:dcterms="http://purl.org/dc/terms/" xmlns:xsi="http://www.w3.org/2001/XMLSchema-instance" xsi:type="dcterms:W3CDTF">2026-06-17T10:57:40Z</dcterms:modified>
</cp:coreProperties>
</file>