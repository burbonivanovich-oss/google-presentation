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Маркет (выручка)" sheetId="2" state="visible" r:id="rId2"/>
    <sheet name="Маркет (оплаты)" sheetId="3" state="visible" r:id="rId3"/>
    <sheet name="ОФД (выручка)" sheetId="4" state="visible" r:id="rId4"/>
    <sheet name="ОФД (оплаты)" sheetId="5" state="visible" r:id="rId5"/>
    <sheet name="Сравнение методов" sheetId="6" state="visible" r:id="rId6"/>
    <sheet name="Реклама — эффективность" sheetId="7" state="visible" r:id="rId7"/>
    <sheet name="Методология" sheetId="8" state="visible" r:id="rId8"/>
    <sheet name="Данные (вход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D2430"/>
      <sz val="16"/>
    </font>
    <font>
      <i val="1"/>
      <color rgb="005E6670"/>
      <sz val="10"/>
    </font>
    <font>
      <b val="1"/>
      <color rgb="00F28C0D"/>
      <sz val="12"/>
    </font>
    <font>
      <b val="1"/>
      <color rgb="00FFFFFF"/>
      <sz val="11"/>
    </font>
    <font>
      <b val="1"/>
    </font>
    <font>
      <color rgb="002F9E44"/>
    </font>
  </fonts>
  <fills count="4">
    <fill>
      <patternFill/>
    </fill>
    <fill>
      <patternFill patternType="gray125"/>
    </fill>
    <fill>
      <patternFill patternType="solid">
        <fgColor rgb="00F28C0D"/>
      </patternFill>
    </fill>
    <fill>
      <patternFill patternType="solid">
        <fgColor rgb="00FFF4E2"/>
      </patternFill>
    </fill>
  </fills>
  <borders count="2">
    <border>
      <left/>
      <right/>
      <top/>
      <bottom/>
      <diagonal/>
    </border>
    <border>
      <left style="thin">
        <color rgb="00E7E9EE"/>
      </left>
      <right style="thin">
        <color rgb="00E7E9EE"/>
      </right>
      <top style="thin">
        <color rgb="00E7E9EE"/>
      </top>
      <bottom style="thin">
        <color rgb="00E7E9E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0" fillId="0" borderId="1" pivotButton="0" quotePrefix="0" xfId="0"/>
    <xf numFmtId="165" fontId="6" fillId="0" borderId="1" pivotButton="0" quotePrefix="0" xfId="0"/>
    <xf numFmtId="165" fontId="5" fillId="0" borderId="1" pivotButton="0" quotePrefix="0" xfId="0"/>
    <xf numFmtId="3" fontId="0" fillId="0" borderId="1" pivotButton="0" quotePrefix="0" xfId="0"/>
    <xf numFmtId="3" fontId="5" fillId="0" borderId="1" pivotButton="0" quotePrefix="0" xfId="0"/>
    <xf numFmtId="0" fontId="5" fillId="3" borderId="0" pivotButton="0" quotePrefix="0" xfId="0"/>
    <xf numFmtId="164" fontId="5" fillId="3" borderId="0" pivotButton="0" quotePrefix="0" xfId="0"/>
    <xf numFmtId="3" fontId="5" fillId="3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Маркет: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'Маркет (выручка)'!B4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(выручка)'!$B$5:$B$16</f>
            </numRef>
          </val>
        </ser>
        <ser>
          <idx val="1"/>
          <order val="1"/>
          <tx>
            <strRef>
              <f>'Маркет (выручка)'!C4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(выручка)'!$C$5:$C$16</f>
            </numRef>
          </val>
        </ser>
        <ser>
          <idx val="2"/>
          <order val="2"/>
          <tx>
            <strRef>
              <f>'Маркет (выручка)'!D4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(выручка)'!$D$5:$D$16</f>
            </numRef>
          </val>
        </ser>
        <ser>
          <idx val="3"/>
          <order val="3"/>
          <tx>
            <strRef>
              <f>'Маркет (выручка)'!E4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(выручка)'!$E$5:$E$16</f>
            </numRef>
          </val>
        </ser>
        <ser>
          <idx val="4"/>
          <order val="4"/>
          <tx>
            <strRef>
              <f>'Маркет (выручка)'!F4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(выручка)'!$F$5:$F$16</f>
            </numRef>
          </val>
        </ser>
        <ser>
          <idx val="5"/>
          <order val="5"/>
          <tx>
            <strRef>
              <f>'Маркет (выручка)'!G4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(выручка)'!$A$5:$A$16</f>
            </numRef>
          </cat>
          <val>
            <numRef>
              <f>'Маркет (выручка)'!$G$5:$G$16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Маркет: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'Маркет (оплаты)'!B4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(оплаты)'!$B$5:$B$16</f>
            </numRef>
          </val>
        </ser>
        <ser>
          <idx val="1"/>
          <order val="1"/>
          <tx>
            <strRef>
              <f>'Маркет (оплаты)'!C4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(оплаты)'!$C$5:$C$16</f>
            </numRef>
          </val>
        </ser>
        <ser>
          <idx val="2"/>
          <order val="2"/>
          <tx>
            <strRef>
              <f>'Маркет (оплаты)'!D4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(оплаты)'!$D$5:$D$16</f>
            </numRef>
          </val>
        </ser>
        <ser>
          <idx val="3"/>
          <order val="3"/>
          <tx>
            <strRef>
              <f>'Маркет (оплаты)'!E4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(оплаты)'!$E$5:$E$16</f>
            </numRef>
          </val>
        </ser>
        <ser>
          <idx val="4"/>
          <order val="4"/>
          <tx>
            <strRef>
              <f>'Маркет (оплаты)'!F4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(оплаты)'!$F$5:$F$16</f>
            </numRef>
          </val>
        </ser>
        <ser>
          <idx val="5"/>
          <order val="5"/>
          <tx>
            <strRef>
              <f>'Маркет (оплаты)'!G4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'Маркет (оплаты)'!$A$5:$A$16</f>
            </numRef>
          </cat>
          <val>
            <numRef>
              <f>'Маркет (оплаты)'!$G$5:$G$16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ОФД: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'ОФД (выручка)'!B4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(выручка)'!$B$5:$B$16</f>
            </numRef>
          </val>
        </ser>
        <ser>
          <idx val="1"/>
          <order val="1"/>
          <tx>
            <strRef>
              <f>'ОФД (выручка)'!C4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(выручка)'!$C$5:$C$16</f>
            </numRef>
          </val>
        </ser>
        <ser>
          <idx val="2"/>
          <order val="2"/>
          <tx>
            <strRef>
              <f>'ОФД (выручка)'!D4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(выручка)'!$D$5:$D$16</f>
            </numRef>
          </val>
        </ser>
        <ser>
          <idx val="3"/>
          <order val="3"/>
          <tx>
            <strRef>
              <f>'ОФД (выручка)'!E4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(выручка)'!$E$5:$E$16</f>
            </numRef>
          </val>
        </ser>
        <ser>
          <idx val="4"/>
          <order val="4"/>
          <tx>
            <strRef>
              <f>'ОФД (выручка)'!F4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(выручка)'!$F$5:$F$16</f>
            </numRef>
          </val>
        </ser>
        <ser>
          <idx val="5"/>
          <order val="5"/>
          <tx>
            <strRef>
              <f>'ОФД (выручка)'!G4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(выручка)'!$A$5:$A$16</f>
            </numRef>
          </cat>
          <val>
            <numRef>
              <f>'ОФД (выручка)'!$G$5:$G$16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ОФД: план / факт / прогноз</a:t>
            </a:r>
          </a:p>
        </rich>
      </tx>
    </title>
    <plotArea>
      <lineChart>
        <grouping val="standard"/>
        <ser>
          <idx val="0"/>
          <order val="0"/>
          <tx>
            <strRef>
              <f>'ОФД (оплаты)'!B4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(оплаты)'!$B$5:$B$16</f>
            </numRef>
          </val>
        </ser>
        <ser>
          <idx val="1"/>
          <order val="1"/>
          <tx>
            <strRef>
              <f>'ОФД (оплаты)'!C4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(оплаты)'!$C$5:$C$16</f>
            </numRef>
          </val>
        </ser>
        <ser>
          <idx val="2"/>
          <order val="2"/>
          <tx>
            <strRef>
              <f>'ОФД (оплаты)'!D4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(оплаты)'!$D$5:$D$16</f>
            </numRef>
          </val>
        </ser>
        <ser>
          <idx val="3"/>
          <order val="3"/>
          <tx>
            <strRef>
              <f>'ОФД (оплаты)'!E4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(оплаты)'!$E$5:$E$16</f>
            </numRef>
          </val>
        </ser>
        <ser>
          <idx val="4"/>
          <order val="4"/>
          <tx>
            <strRef>
              <f>'ОФД (оплаты)'!F4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(оплаты)'!$F$5:$F$16</f>
            </numRef>
          </val>
        </ser>
        <ser>
          <idx val="5"/>
          <order val="5"/>
          <tx>
            <strRef>
              <f>'ОФД (оплаты)'!G4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'ОФД (оплаты)'!$A$5:$A$16</f>
            </numRef>
          </cat>
          <val>
            <numRef>
              <f>'ОФД (оплаты)'!$G$5:$G$16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Прогноз выполнения плана 2026 — Маркет и ОФД</t>
        </is>
      </c>
    </row>
    <row r="2">
      <c r="A2" s="2" t="inlineStr">
        <is>
          <t>Факт по Май включительно · модели: plan-pacing, сезонный YoY, ETS (statsmodels), регрессия (sklearn) · ансамбль и сценарии низ/база/верх</t>
        </is>
      </c>
    </row>
    <row r="4">
      <c r="A4" s="3" t="inlineStr">
        <is>
          <t>ВЫРУЧКА, ₽</t>
        </is>
      </c>
    </row>
    <row r="5">
      <c r="A5" s="4" t="inlineStr">
        <is>
          <t>Продукт / показатель</t>
        </is>
      </c>
      <c r="B5" s="4" t="inlineStr">
        <is>
          <t>Маркет</t>
        </is>
      </c>
      <c r="C5" s="4" t="inlineStr">
        <is>
          <t>ОФД</t>
        </is>
      </c>
    </row>
    <row r="6">
      <c r="A6" s="5" t="inlineStr">
        <is>
          <t>Годовой план</t>
        </is>
      </c>
      <c r="B6" s="6" t="n">
        <v>74978132.02954279</v>
      </c>
      <c r="C6" s="6" t="n">
        <v>18349014.61460987</v>
      </c>
    </row>
    <row r="7">
      <c r="A7" s="5" t="inlineStr">
        <is>
          <t>План YTD (янв–май)</t>
        </is>
      </c>
      <c r="B7" s="6" t="n">
        <v>61842622.0403484</v>
      </c>
      <c r="C7" s="6" t="n">
        <v>15306086.82974042</v>
      </c>
    </row>
    <row r="8">
      <c r="A8" s="7" t="inlineStr">
        <is>
          <t>Факт YTD (янв–май)</t>
        </is>
      </c>
      <c r="B8" s="8" t="n">
        <v>58910724.97</v>
      </c>
      <c r="C8" s="8" t="n">
        <v>18908534.4</v>
      </c>
    </row>
    <row r="9">
      <c r="A9" s="5" t="inlineStr">
        <is>
          <t>Выполнение YTD, %</t>
        </is>
      </c>
      <c r="B9" s="9" t="n">
        <v>0.9525909967330377</v>
      </c>
      <c r="C9" s="9" t="n">
        <v>1.235360455636503</v>
      </c>
    </row>
    <row r="10">
      <c r="A10" s="5" t="inlineStr">
        <is>
          <t>YoY к 2025, %</t>
        </is>
      </c>
      <c r="B10" s="10" t="n">
        <v>0</v>
      </c>
      <c r="C10" s="10" t="n">
        <v>0</v>
      </c>
    </row>
    <row r="11">
      <c r="A11" s="5" t="inlineStr">
        <is>
          <t>Прогноз года — НИЗ</t>
        </is>
      </c>
      <c r="B11" s="6" t="n">
        <v>58910724.97</v>
      </c>
      <c r="C11" s="6" t="n">
        <v>18908534.4</v>
      </c>
    </row>
    <row r="12">
      <c r="A12" s="7" t="inlineStr">
        <is>
          <t>Прогноз года — БАЗА</t>
        </is>
      </c>
      <c r="B12" s="8" t="n">
        <v>93153136.83697945</v>
      </c>
      <c r="C12" s="8" t="n">
        <v>29350174.13771413</v>
      </c>
    </row>
    <row r="13">
      <c r="A13" s="5" t="inlineStr">
        <is>
          <t>Прогноз года — ВЕРХ</t>
        </is>
      </c>
      <c r="B13" s="6" t="n">
        <v>146790641.0524629</v>
      </c>
      <c r="C13" s="6" t="n">
        <v>45525328.90231529</v>
      </c>
    </row>
    <row r="14">
      <c r="A14" s="5" t="inlineStr">
        <is>
          <t>Выполнение плана — НИЗ, %</t>
        </is>
      </c>
      <c r="B14" s="9" t="n">
        <v>0.7857054233731521</v>
      </c>
      <c r="C14" s="9" t="n">
        <v>1.030493178905892</v>
      </c>
    </row>
    <row r="15">
      <c r="A15" s="7" t="inlineStr">
        <is>
          <t>Выполнение плана — БАЗА, %</t>
        </is>
      </c>
      <c r="B15" s="11" t="n">
        <v>1.242404075901429</v>
      </c>
      <c r="C15" s="11" t="n">
        <v>1.599550425685798</v>
      </c>
    </row>
    <row r="16">
      <c r="A16" s="5" t="inlineStr">
        <is>
          <t>Выполнение плана — ВЕРХ, %</t>
        </is>
      </c>
      <c r="B16" s="9" t="n">
        <v>1.957779382855586</v>
      </c>
      <c r="C16" s="9" t="n">
        <v>2.481077586916688</v>
      </c>
    </row>
    <row r="17">
      <c r="A17" s="7" t="inlineStr">
        <is>
          <t>Вывод (база)</t>
        </is>
      </c>
      <c r="B17" s="5" t="inlineStr">
        <is>
          <t>план будет выполнен</t>
        </is>
      </c>
      <c r="C17" s="5" t="inlineStr">
        <is>
          <t>план будет выполнен</t>
        </is>
      </c>
    </row>
    <row r="18"/>
    <row r="19">
      <c r="A19" s="3" t="inlineStr">
        <is>
          <t>ОПЛАТЫ, шт</t>
        </is>
      </c>
    </row>
    <row r="20">
      <c r="A20" s="4" t="inlineStr">
        <is>
          <t>Продукт / показатель</t>
        </is>
      </c>
      <c r="B20" s="4" t="inlineStr">
        <is>
          <t>Маркет</t>
        </is>
      </c>
      <c r="C20" s="4" t="inlineStr">
        <is>
          <t>ОФД</t>
        </is>
      </c>
    </row>
    <row r="21">
      <c r="A21" s="5" t="inlineStr">
        <is>
          <t>Годовой план</t>
        </is>
      </c>
      <c r="B21" s="12" t="n">
        <v>7729.591648355621</v>
      </c>
      <c r="C21" s="12" t="n">
        <v>3606.283371241205</v>
      </c>
    </row>
    <row r="22">
      <c r="A22" s="5" t="inlineStr">
        <is>
          <t>План YTD (янв–май)</t>
        </is>
      </c>
      <c r="B22" s="12" t="n">
        <v>6398.966448988807</v>
      </c>
      <c r="C22" s="12" t="n">
        <v>3008.397945204254</v>
      </c>
    </row>
    <row r="23">
      <c r="A23" s="7" t="inlineStr">
        <is>
          <t>Факт YTD (янв–май)</t>
        </is>
      </c>
      <c r="B23" s="13" t="n">
        <v>5978</v>
      </c>
      <c r="C23" s="13" t="n">
        <v>3189</v>
      </c>
    </row>
    <row r="24">
      <c r="A24" s="5" t="inlineStr">
        <is>
          <t>Выполнение YTD, %</t>
        </is>
      </c>
      <c r="B24" s="9" t="n">
        <v>0.9342133683080445</v>
      </c>
      <c r="C24" s="9" t="n">
        <v>1.060032634673098</v>
      </c>
    </row>
    <row r="25">
      <c r="A25" s="5" t="inlineStr">
        <is>
          <t>YoY к 2025, %</t>
        </is>
      </c>
      <c r="B25" s="10" t="n">
        <v>0</v>
      </c>
      <c r="C25" s="10" t="n">
        <v>0</v>
      </c>
    </row>
    <row r="26">
      <c r="A26" s="5" t="inlineStr">
        <is>
          <t>Прогноз года — НИЗ</t>
        </is>
      </c>
      <c r="B26" s="12" t="n">
        <v>5978</v>
      </c>
      <c r="C26" s="12" t="n">
        <v>3189</v>
      </c>
    </row>
    <row r="27">
      <c r="A27" s="7" t="inlineStr">
        <is>
          <t>Прогноз года — БАЗА</t>
        </is>
      </c>
      <c r="B27" s="13" t="n">
        <v>9326.191927586042</v>
      </c>
      <c r="C27" s="13" t="n">
        <v>4978.265237470123</v>
      </c>
    </row>
    <row r="28">
      <c r="A28" s="5" t="inlineStr">
        <is>
          <t>Прогноз года — ВЕРХ</t>
        </is>
      </c>
      <c r="B28" s="12" t="n">
        <v>14509.28464364729</v>
      </c>
      <c r="C28" s="12" t="n">
        <v>7750.225049538408</v>
      </c>
    </row>
    <row r="29">
      <c r="A29" s="5" t="inlineStr">
        <is>
          <t>Выполнение плана — НИЗ, %</t>
        </is>
      </c>
      <c r="B29" s="9" t="n">
        <v>0.7733914379903559</v>
      </c>
      <c r="C29" s="9" t="n">
        <v>0.8842899106129907</v>
      </c>
    </row>
    <row r="30">
      <c r="A30" s="7" t="inlineStr">
        <is>
          <t>Выполнение плана — БАЗА, %</t>
        </is>
      </c>
      <c r="B30" s="11" t="n">
        <v>1.206556872842057</v>
      </c>
      <c r="C30" s="11" t="n">
        <v>1.380442057651368</v>
      </c>
    </row>
    <row r="31">
      <c r="A31" s="5" t="inlineStr">
        <is>
          <t>Выполнение плана — ВЕРХ, %</t>
        </is>
      </c>
      <c r="B31" s="9" t="n">
        <v>1.877108818126759</v>
      </c>
      <c r="C31" s="9" t="n">
        <v>2.149089312099994</v>
      </c>
    </row>
    <row r="32">
      <c r="A32" s="7" t="inlineStr">
        <is>
          <t>Вывод (база)</t>
        </is>
      </c>
      <c r="B32" s="5" t="inlineStr">
        <is>
          <t>план будет выполнен</t>
        </is>
      </c>
      <c r="C32" s="5" t="inlineStr">
        <is>
          <t>план будет выполнен</t>
        </is>
      </c>
    </row>
    <row r="3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Маркет — выручка 2026, помесячно</t>
        </is>
      </c>
    </row>
    <row r="2">
      <c r="A2" s="2" t="inlineStr">
        <is>
          <t>Проекты п470, п47101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6" t="n">
        <v>11976465.28439866</v>
      </c>
      <c r="C5" s="6" t="n">
        <v>0</v>
      </c>
      <c r="D5" s="6" t="n">
        <v>11172387.06</v>
      </c>
      <c r="E5" s="6" t="n"/>
      <c r="F5" s="6" t="n"/>
      <c r="G5" s="6" t="n"/>
    </row>
    <row r="6">
      <c r="A6" s="5" t="inlineStr">
        <is>
          <t>Февраль</t>
        </is>
      </c>
      <c r="B6" s="6" t="n">
        <v>11920770.22500039</v>
      </c>
      <c r="C6" s="6" t="n">
        <v>0</v>
      </c>
      <c r="D6" s="6" t="n">
        <v>13264451.47</v>
      </c>
      <c r="E6" s="6" t="n"/>
      <c r="F6" s="6" t="n"/>
      <c r="G6" s="6" t="n"/>
    </row>
    <row r="7">
      <c r="A7" s="5" t="inlineStr">
        <is>
          <t>Март</t>
        </is>
      </c>
      <c r="B7" s="6" t="n">
        <v>13959079.78723557</v>
      </c>
      <c r="C7" s="6" t="n">
        <v>0</v>
      </c>
      <c r="D7" s="6" t="n">
        <v>13054626.16</v>
      </c>
      <c r="E7" s="6" t="n"/>
      <c r="F7" s="6" t="n"/>
      <c r="G7" s="6" t="n"/>
    </row>
    <row r="8">
      <c r="A8" s="5" t="inlineStr">
        <is>
          <t>Апрель</t>
        </is>
      </c>
      <c r="B8" s="6" t="n">
        <v>13111598.14672046</v>
      </c>
      <c r="C8" s="6" t="n">
        <v>0</v>
      </c>
      <c r="D8" s="6" t="n">
        <v>11472180.65</v>
      </c>
      <c r="E8" s="6" t="n"/>
      <c r="F8" s="6" t="n"/>
      <c r="G8" s="6" t="n"/>
    </row>
    <row r="9">
      <c r="A9" s="5" t="inlineStr">
        <is>
          <t>Май</t>
        </is>
      </c>
      <c r="B9" s="6" t="n">
        <v>10874708.59699332</v>
      </c>
      <c r="C9" s="6" t="n">
        <v>0</v>
      </c>
      <c r="D9" s="6" t="n">
        <v>9947079.629999999</v>
      </c>
      <c r="E9" s="6" t="n"/>
      <c r="F9" s="6" t="n"/>
      <c r="G9" s="6" t="n"/>
    </row>
    <row r="10">
      <c r="A10" s="5" t="inlineStr">
        <is>
          <t>Июнь</t>
        </is>
      </c>
      <c r="B10" s="6" t="n">
        <v>13135509.98919439</v>
      </c>
      <c r="C10" s="6" t="n">
        <v>0</v>
      </c>
      <c r="D10" s="6" t="n"/>
      <c r="E10" s="6" t="n">
        <v>8936488.821271282</v>
      </c>
      <c r="F10" s="6" t="n">
        <v>0</v>
      </c>
      <c r="G10" s="6" t="n">
        <v>12512768.55320346</v>
      </c>
    </row>
    <row r="11">
      <c r="A11" s="5" t="inlineStr">
        <is>
          <t>Июль</t>
        </is>
      </c>
      <c r="B11" s="6" t="n">
        <v>0</v>
      </c>
      <c r="C11" s="6" t="n">
        <v>0</v>
      </c>
      <c r="D11" s="6" t="n"/>
      <c r="E11" s="6" t="n">
        <v>4013857.399769391</v>
      </c>
      <c r="F11" s="6" t="n">
        <v>0</v>
      </c>
      <c r="G11" s="6" t="n">
        <v>11782144.99399984</v>
      </c>
    </row>
    <row r="12">
      <c r="A12" s="5" t="inlineStr">
        <is>
          <t>Август</t>
        </is>
      </c>
      <c r="B12" s="6" t="n">
        <v>0</v>
      </c>
      <c r="C12" s="6" t="n">
        <v>0</v>
      </c>
      <c r="D12" s="6" t="n"/>
      <c r="E12" s="6" t="n">
        <v>4095921.019549984</v>
      </c>
      <c r="F12" s="6" t="n">
        <v>0</v>
      </c>
      <c r="G12" s="6" t="n">
        <v>11782144.99399982</v>
      </c>
    </row>
    <row r="13">
      <c r="A13" s="5" t="inlineStr">
        <is>
          <t>Сентябрь</t>
        </is>
      </c>
      <c r="B13" s="6" t="n">
        <v>0</v>
      </c>
      <c r="C13" s="6" t="n">
        <v>0</v>
      </c>
      <c r="D13" s="6" t="n"/>
      <c r="E13" s="6" t="n">
        <v>4177574.321231673</v>
      </c>
      <c r="F13" s="6" t="n">
        <v>0</v>
      </c>
      <c r="G13" s="6" t="n">
        <v>12140968.81621142</v>
      </c>
    </row>
    <row r="14">
      <c r="A14" s="5" t="inlineStr">
        <is>
          <t>Октябрь</t>
        </is>
      </c>
      <c r="B14" s="6" t="n">
        <v>0</v>
      </c>
      <c r="C14" s="6" t="n">
        <v>0</v>
      </c>
      <c r="D14" s="6" t="n"/>
      <c r="E14" s="6" t="n">
        <v>4258819.356404955</v>
      </c>
      <c r="F14" s="6" t="n">
        <v>0</v>
      </c>
      <c r="G14" s="6" t="n">
        <v>12682602.38403332</v>
      </c>
    </row>
    <row r="15">
      <c r="A15" s="5" t="inlineStr">
        <is>
          <t>Ноябрь</t>
        </is>
      </c>
      <c r="B15" s="6" t="n">
        <v>0</v>
      </c>
      <c r="C15" s="6" t="n">
        <v>0</v>
      </c>
      <c r="D15" s="6" t="n"/>
      <c r="E15" s="6" t="n">
        <v>4339658.166402371</v>
      </c>
      <c r="F15" s="6" t="n">
        <v>0</v>
      </c>
      <c r="G15" s="6" t="n">
        <v>13221527.78401611</v>
      </c>
    </row>
    <row r="16">
      <c r="A16" s="5" t="inlineStr">
        <is>
          <t>Декабрь</t>
        </is>
      </c>
      <c r="B16" s="6" t="n">
        <v>0</v>
      </c>
      <c r="C16" s="6" t="n">
        <v>0</v>
      </c>
      <c r="D16" s="6" t="n"/>
      <c r="E16" s="6" t="n">
        <v>4420092.782349799</v>
      </c>
      <c r="F16" s="6" t="n">
        <v>0</v>
      </c>
      <c r="G16" s="6" t="n">
        <v>13757758.55699898</v>
      </c>
    </row>
    <row r="17">
      <c r="A17" s="14" t="inlineStr">
        <is>
          <t>ИТОГО год</t>
        </is>
      </c>
      <c r="B17" s="15" t="n">
        <v>74978132.02954279</v>
      </c>
      <c r="C17" s="14" t="n"/>
      <c r="D17" s="15" t="n">
        <v>58910724.97</v>
      </c>
      <c r="E17" s="15" t="n">
        <v>93153136.83697945</v>
      </c>
      <c r="F17" s="15" t="n">
        <v>58910724.97</v>
      </c>
      <c r="G17" s="15" t="n">
        <v>146790641.0524629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Маркет — оплаты 2026, помесячно</t>
        </is>
      </c>
    </row>
    <row r="2">
      <c r="A2" s="2" t="inlineStr">
        <is>
          <t>Проекты п470, п47101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12" t="n">
        <v>1244.855181028614</v>
      </c>
      <c r="C5" s="12" t="n">
        <v>0</v>
      </c>
      <c r="D5" s="12" t="n">
        <v>1195</v>
      </c>
      <c r="E5" s="12" t="n"/>
      <c r="F5" s="12" t="n"/>
      <c r="G5" s="12" t="n"/>
    </row>
    <row r="6">
      <c r="A6" s="5" t="inlineStr">
        <is>
          <t>Февраль</t>
        </is>
      </c>
      <c r="B6" s="12" t="n">
        <v>1236.363483450679</v>
      </c>
      <c r="C6" s="12" t="n">
        <v>0</v>
      </c>
      <c r="D6" s="12" t="n">
        <v>1540</v>
      </c>
      <c r="E6" s="12" t="n"/>
      <c r="F6" s="12" t="n"/>
      <c r="G6" s="12" t="n"/>
    </row>
    <row r="7">
      <c r="A7" s="5" t="inlineStr">
        <is>
          <t>Март</t>
        </is>
      </c>
      <c r="B7" s="12" t="n">
        <v>1451.398885860066</v>
      </c>
      <c r="C7" s="12" t="n">
        <v>0</v>
      </c>
      <c r="D7" s="12" t="n">
        <v>1268</v>
      </c>
      <c r="E7" s="12" t="n"/>
      <c r="F7" s="12" t="n"/>
      <c r="G7" s="12" t="n"/>
    </row>
    <row r="8">
      <c r="A8" s="5" t="inlineStr">
        <is>
          <t>Апрель</t>
        </is>
      </c>
      <c r="B8" s="12" t="n">
        <v>1336.916599324724</v>
      </c>
      <c r="C8" s="12" t="n">
        <v>0</v>
      </c>
      <c r="D8" s="12" t="n">
        <v>1067</v>
      </c>
      <c r="E8" s="12" t="n"/>
      <c r="F8" s="12" t="n"/>
      <c r="G8" s="12" t="n"/>
    </row>
    <row r="9">
      <c r="A9" s="5" t="inlineStr">
        <is>
          <t>Май</t>
        </is>
      </c>
      <c r="B9" s="12" t="n">
        <v>1129.432299324724</v>
      </c>
      <c r="C9" s="12" t="n">
        <v>0</v>
      </c>
      <c r="D9" s="12" t="n">
        <v>908</v>
      </c>
      <c r="E9" s="12" t="n"/>
      <c r="F9" s="12" t="n"/>
      <c r="G9" s="12" t="n"/>
    </row>
    <row r="10">
      <c r="A10" s="5" t="inlineStr">
        <is>
          <t>Июнь</t>
        </is>
      </c>
      <c r="B10" s="12" t="n">
        <v>1330.625199366814</v>
      </c>
      <c r="C10" s="12" t="n">
        <v>0</v>
      </c>
      <c r="D10" s="12" t="n"/>
      <c r="E10" s="12" t="n">
        <v>880.6252238868395</v>
      </c>
      <c r="F10" s="12" t="n">
        <v>0</v>
      </c>
      <c r="G10" s="12" t="n">
        <v>1243.087849456035</v>
      </c>
    </row>
    <row r="11">
      <c r="A11" s="5" t="inlineStr">
        <is>
          <t>Июль</t>
        </is>
      </c>
      <c r="B11" s="12" t="n">
        <v>0</v>
      </c>
      <c r="C11" s="12" t="n">
        <v>0</v>
      </c>
      <c r="D11" s="12" t="n"/>
      <c r="E11" s="12" t="n">
        <v>391.4198173144633</v>
      </c>
      <c r="F11" s="12" t="n">
        <v>0</v>
      </c>
      <c r="G11" s="12" t="n">
        <v>1195.599999999978</v>
      </c>
    </row>
    <row r="12">
      <c r="A12" s="5" t="inlineStr">
        <is>
          <t>Август</t>
        </is>
      </c>
      <c r="B12" s="12" t="n">
        <v>0</v>
      </c>
      <c r="C12" s="12" t="n">
        <v>0</v>
      </c>
      <c r="D12" s="12" t="n"/>
      <c r="E12" s="12" t="n">
        <v>399.4094018584508</v>
      </c>
      <c r="F12" s="12" t="n">
        <v>0</v>
      </c>
      <c r="G12" s="12" t="n">
        <v>1195.599999999976</v>
      </c>
    </row>
    <row r="13">
      <c r="A13" s="5" t="inlineStr">
        <is>
          <t>Сентябрь</t>
        </is>
      </c>
      <c r="B13" s="12" t="n">
        <v>0</v>
      </c>
      <c r="C13" s="12" t="n">
        <v>0</v>
      </c>
      <c r="D13" s="12" t="n"/>
      <c r="E13" s="12" t="n">
        <v>407.3590384797184</v>
      </c>
      <c r="F13" s="12" t="n">
        <v>0</v>
      </c>
      <c r="G13" s="12" t="n">
        <v>1195.599999999974</v>
      </c>
    </row>
    <row r="14">
      <c r="A14" s="5" t="inlineStr">
        <is>
          <t>Октябрь</t>
        </is>
      </c>
      <c r="B14" s="12" t="n">
        <v>0</v>
      </c>
      <c r="C14" s="12" t="n">
        <v>0</v>
      </c>
      <c r="D14" s="12" t="n"/>
      <c r="E14" s="12" t="n">
        <v>415.2689269178796</v>
      </c>
      <c r="F14" s="12" t="n">
        <v>0</v>
      </c>
      <c r="G14" s="12" t="n">
        <v>1195.599999999972</v>
      </c>
    </row>
    <row r="15">
      <c r="A15" s="5" t="inlineStr">
        <is>
          <t>Ноябрь</t>
        </is>
      </c>
      <c r="B15" s="12" t="n">
        <v>0</v>
      </c>
      <c r="C15" s="12" t="n">
        <v>0</v>
      </c>
      <c r="D15" s="12" t="n"/>
      <c r="E15" s="12" t="n">
        <v>423.13926591385</v>
      </c>
      <c r="F15" s="12" t="n">
        <v>0</v>
      </c>
      <c r="G15" s="12" t="n">
        <v>1226.795106092374</v>
      </c>
    </row>
    <row r="16">
      <c r="A16" s="5" t="inlineStr">
        <is>
          <t>Декабрь</t>
        </is>
      </c>
      <c r="B16" s="12" t="n">
        <v>0</v>
      </c>
      <c r="C16" s="12" t="n">
        <v>0</v>
      </c>
      <c r="D16" s="12" t="n"/>
      <c r="E16" s="12" t="n">
        <v>430.9702532148405</v>
      </c>
      <c r="F16" s="12" t="n">
        <v>0</v>
      </c>
      <c r="G16" s="12" t="n">
        <v>1279.001688098981</v>
      </c>
    </row>
    <row r="17">
      <c r="A17" s="14" t="inlineStr">
        <is>
          <t>ИТОГО год</t>
        </is>
      </c>
      <c r="B17" s="16" t="n">
        <v>7729.591648355621</v>
      </c>
      <c r="C17" s="14" t="n"/>
      <c r="D17" s="16" t="n">
        <v>5978</v>
      </c>
      <c r="E17" s="16" t="n">
        <v>9326.191927586042</v>
      </c>
      <c r="F17" s="16" t="n">
        <v>5978</v>
      </c>
      <c r="G17" s="16" t="n">
        <v>14509.28464364729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ОФД — выручка 2026, помесячно</t>
        </is>
      </c>
    </row>
    <row r="2">
      <c r="A2" s="2" t="inlineStr">
        <is>
          <t>Проекты п453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6" t="n">
        <v>2810129.792756177</v>
      </c>
      <c r="C5" s="6" t="n">
        <v>0</v>
      </c>
      <c r="D5" s="6" t="n">
        <v>4051268</v>
      </c>
      <c r="E5" s="6" t="n"/>
      <c r="F5" s="6" t="n"/>
      <c r="G5" s="6" t="n"/>
    </row>
    <row r="6">
      <c r="A6" s="5" t="inlineStr">
        <is>
          <t>Февраль</t>
        </is>
      </c>
      <c r="B6" s="6" t="n">
        <v>3106809.006335288</v>
      </c>
      <c r="C6" s="6" t="n">
        <v>0</v>
      </c>
      <c r="D6" s="6" t="n">
        <v>4117291.34</v>
      </c>
      <c r="E6" s="6" t="n"/>
      <c r="F6" s="6" t="n"/>
      <c r="G6" s="6" t="n"/>
    </row>
    <row r="7">
      <c r="A7" s="5" t="inlineStr">
        <is>
          <t>Март</t>
        </is>
      </c>
      <c r="B7" s="6" t="n">
        <v>3178600.318375708</v>
      </c>
      <c r="C7" s="6" t="n">
        <v>0</v>
      </c>
      <c r="D7" s="6" t="n">
        <v>4177257.07</v>
      </c>
      <c r="E7" s="6" t="n"/>
      <c r="F7" s="6" t="n"/>
      <c r="G7" s="6" t="n"/>
    </row>
    <row r="8">
      <c r="A8" s="5" t="inlineStr">
        <is>
          <t>Апрель</t>
        </is>
      </c>
      <c r="B8" s="6" t="n">
        <v>3241746.667406957</v>
      </c>
      <c r="C8" s="6" t="n">
        <v>0</v>
      </c>
      <c r="D8" s="6" t="n">
        <v>3708388.14</v>
      </c>
      <c r="E8" s="6" t="n"/>
      <c r="F8" s="6" t="n"/>
      <c r="G8" s="6" t="n"/>
    </row>
    <row r="9">
      <c r="A9" s="5" t="inlineStr">
        <is>
          <t>Май</t>
        </is>
      </c>
      <c r="B9" s="6" t="n">
        <v>2968801.044866289</v>
      </c>
      <c r="C9" s="6" t="n">
        <v>0</v>
      </c>
      <c r="D9" s="6" t="n">
        <v>2854329.85</v>
      </c>
      <c r="E9" s="6" t="n"/>
      <c r="F9" s="6" t="n"/>
      <c r="G9" s="6" t="n"/>
    </row>
    <row r="10">
      <c r="A10" s="5" t="inlineStr">
        <is>
          <t>Июнь</t>
        </is>
      </c>
      <c r="B10" s="6" t="n">
        <v>3042927.784869445</v>
      </c>
      <c r="C10" s="6" t="n">
        <v>0</v>
      </c>
      <c r="D10" s="6" t="n"/>
      <c r="E10" s="6" t="n">
        <v>2711459.079029309</v>
      </c>
      <c r="F10" s="6" t="n">
        <v>0</v>
      </c>
      <c r="G10" s="6" t="n">
        <v>3781706.879999951</v>
      </c>
    </row>
    <row r="11">
      <c r="A11" s="5" t="inlineStr">
        <is>
          <t>Июль</t>
        </is>
      </c>
      <c r="B11" s="6" t="n">
        <v>0</v>
      </c>
      <c r="C11" s="6" t="n">
        <v>0</v>
      </c>
      <c r="D11" s="6" t="n"/>
      <c r="E11" s="6" t="n">
        <v>1231020.56266535</v>
      </c>
      <c r="F11" s="6" t="n">
        <v>0</v>
      </c>
      <c r="G11" s="6" t="n">
        <v>3781706.879999946</v>
      </c>
    </row>
    <row r="12">
      <c r="A12" s="5" t="inlineStr">
        <is>
          <t>Август</t>
        </is>
      </c>
      <c r="B12" s="6" t="n">
        <v>0</v>
      </c>
      <c r="C12" s="6" t="n">
        <v>0</v>
      </c>
      <c r="D12" s="6" t="n"/>
      <c r="E12" s="6" t="n">
        <v>1254111.075487757</v>
      </c>
      <c r="F12" s="6" t="n">
        <v>0</v>
      </c>
      <c r="G12" s="6" t="n">
        <v>3781706.87999994</v>
      </c>
    </row>
    <row r="13">
      <c r="A13" s="5" t="inlineStr">
        <is>
          <t>Сентябрь</t>
        </is>
      </c>
      <c r="B13" s="6" t="n">
        <v>0</v>
      </c>
      <c r="C13" s="6" t="n">
        <v>0</v>
      </c>
      <c r="D13" s="6" t="n"/>
      <c r="E13" s="6" t="n">
        <v>1277086.135746052</v>
      </c>
      <c r="F13" s="6" t="n">
        <v>0</v>
      </c>
      <c r="G13" s="6" t="n">
        <v>3781706.879999936</v>
      </c>
    </row>
    <row r="14">
      <c r="A14" s="5" t="inlineStr">
        <is>
          <t>Октябрь</t>
        </is>
      </c>
      <c r="B14" s="6" t="n">
        <v>0</v>
      </c>
      <c r="C14" s="6" t="n">
        <v>0</v>
      </c>
      <c r="D14" s="6" t="n"/>
      <c r="E14" s="6" t="n">
        <v>1299946.320703056</v>
      </c>
      <c r="F14" s="6" t="n">
        <v>0</v>
      </c>
      <c r="G14" s="6" t="n">
        <v>3781706.879999931</v>
      </c>
    </row>
    <row r="15">
      <c r="A15" s="5" t="inlineStr">
        <is>
          <t>Ноябрь</t>
        </is>
      </c>
      <c r="B15" s="6" t="n">
        <v>0</v>
      </c>
      <c r="C15" s="6" t="n">
        <v>0</v>
      </c>
      <c r="D15" s="6" t="n"/>
      <c r="E15" s="6" t="n">
        <v>1322692.204735274</v>
      </c>
      <c r="F15" s="6" t="n">
        <v>0</v>
      </c>
      <c r="G15" s="6" t="n">
        <v>3781706.879999925</v>
      </c>
    </row>
    <row r="16">
      <c r="A16" s="5" t="inlineStr">
        <is>
          <t>Декабрь</t>
        </is>
      </c>
      <c r="B16" s="6" t="n">
        <v>0</v>
      </c>
      <c r="C16" s="6" t="n">
        <v>0</v>
      </c>
      <c r="D16" s="6" t="n"/>
      <c r="E16" s="6" t="n">
        <v>1345324.359347332</v>
      </c>
      <c r="F16" s="6" t="n">
        <v>0</v>
      </c>
      <c r="G16" s="6" t="n">
        <v>3926553.222315652</v>
      </c>
    </row>
    <row r="17">
      <c r="A17" s="14" t="inlineStr">
        <is>
          <t>ИТОГО год</t>
        </is>
      </c>
      <c r="B17" s="15" t="n">
        <v>18349014.61460987</v>
      </c>
      <c r="C17" s="14" t="n"/>
      <c r="D17" s="15" t="n">
        <v>18908534.4</v>
      </c>
      <c r="E17" s="15" t="n">
        <v>29350174.13771413</v>
      </c>
      <c r="F17" s="15" t="n">
        <v>18908534.4</v>
      </c>
      <c r="G17" s="15" t="n">
        <v>45525328.90231529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ОФД — оплаты 2026, помесячно</t>
        </is>
      </c>
    </row>
    <row r="2">
      <c r="A2" s="2" t="inlineStr">
        <is>
          <t>Проекты п453 · факт по Май, далее прогноз (база) и коридор низ/верх</t>
        </is>
      </c>
    </row>
    <row r="4">
      <c r="A4" s="4" t="inlineStr">
        <is>
          <t>Месяц</t>
        </is>
      </c>
      <c r="B4" s="4" t="inlineStr">
        <is>
          <t>План 2026</t>
        </is>
      </c>
      <c r="C4" s="4" t="inlineStr">
        <is>
          <t>Факт 2025</t>
        </is>
      </c>
      <c r="D4" s="4" t="inlineStr">
        <is>
          <t>Факт 2026</t>
        </is>
      </c>
      <c r="E4" s="4" t="inlineStr">
        <is>
          <t>Прогноз база</t>
        </is>
      </c>
      <c r="F4" s="4" t="inlineStr">
        <is>
          <t>Прогноз низ</t>
        </is>
      </c>
      <c r="G4" s="4" t="inlineStr">
        <is>
          <t>Прогноз верх</t>
        </is>
      </c>
    </row>
    <row r="5">
      <c r="A5" s="5" t="inlineStr">
        <is>
          <t>Январь</t>
        </is>
      </c>
      <c r="B5" s="12" t="n">
        <v>553.1295998444964</v>
      </c>
      <c r="C5" s="12" t="n">
        <v>0</v>
      </c>
      <c r="D5" s="12" t="n">
        <v>712</v>
      </c>
      <c r="E5" s="12" t="n"/>
      <c r="F5" s="12" t="n"/>
      <c r="G5" s="12" t="n"/>
    </row>
    <row r="6">
      <c r="A6" s="5" t="inlineStr">
        <is>
          <t>Февраль</t>
        </is>
      </c>
      <c r="B6" s="12" t="n">
        <v>611.4680998825025</v>
      </c>
      <c r="C6" s="12" t="n">
        <v>0</v>
      </c>
      <c r="D6" s="12" t="n">
        <v>699</v>
      </c>
      <c r="E6" s="12" t="n"/>
      <c r="F6" s="12" t="n"/>
      <c r="G6" s="12" t="n"/>
    </row>
    <row r="7">
      <c r="A7" s="5" t="inlineStr">
        <is>
          <t>Март</t>
        </is>
      </c>
      <c r="B7" s="12" t="n">
        <v>621.6022998825026</v>
      </c>
      <c r="C7" s="12" t="n">
        <v>0</v>
      </c>
      <c r="D7" s="12" t="n">
        <v>711</v>
      </c>
      <c r="E7" s="12" t="n"/>
      <c r="F7" s="12" t="n"/>
      <c r="G7" s="12" t="n"/>
    </row>
    <row r="8">
      <c r="A8" s="5" t="inlineStr">
        <is>
          <t>Апрель</t>
        </is>
      </c>
      <c r="B8" s="12" t="n">
        <v>637.577022890739</v>
      </c>
      <c r="C8" s="12" t="n">
        <v>0</v>
      </c>
      <c r="D8" s="12" t="n">
        <v>576</v>
      </c>
      <c r="E8" s="12" t="n"/>
      <c r="F8" s="12" t="n"/>
      <c r="G8" s="12" t="n"/>
    </row>
    <row r="9">
      <c r="A9" s="5" t="inlineStr">
        <is>
          <t>Май</t>
        </is>
      </c>
      <c r="B9" s="12" t="n">
        <v>584.6209227040131</v>
      </c>
      <c r="C9" s="12" t="n">
        <v>0</v>
      </c>
      <c r="D9" s="12" t="n">
        <v>491</v>
      </c>
      <c r="E9" s="12" t="n"/>
      <c r="F9" s="12" t="n"/>
      <c r="G9" s="12" t="n"/>
    </row>
    <row r="10">
      <c r="A10" s="5" t="inlineStr">
        <is>
          <t>Июнь</t>
        </is>
      </c>
      <c r="B10" s="12" t="n">
        <v>597.8854260369515</v>
      </c>
      <c r="C10" s="12" t="n">
        <v>0</v>
      </c>
      <c r="D10" s="12" t="n"/>
      <c r="E10" s="12" t="n">
        <v>459.8375329743966</v>
      </c>
      <c r="F10" s="12" t="n">
        <v>0</v>
      </c>
      <c r="G10" s="12" t="n">
        <v>637.7999999999911</v>
      </c>
    </row>
    <row r="11">
      <c r="A11" s="5" t="inlineStr">
        <is>
          <t>Июль</t>
        </is>
      </c>
      <c r="B11" s="12" t="n">
        <v>0</v>
      </c>
      <c r="C11" s="12" t="n">
        <v>0</v>
      </c>
      <c r="D11" s="12" t="n"/>
      <c r="E11" s="12" t="n">
        <v>210.7184337724339</v>
      </c>
      <c r="F11" s="12" t="n">
        <v>0</v>
      </c>
      <c r="G11" s="12" t="n">
        <v>637.7999999999903</v>
      </c>
    </row>
    <row r="12">
      <c r="A12" s="5" t="inlineStr">
        <is>
          <t>Август</t>
        </is>
      </c>
      <c r="B12" s="12" t="n">
        <v>0</v>
      </c>
      <c r="C12" s="12" t="n">
        <v>0</v>
      </c>
      <c r="D12" s="12" t="n"/>
      <c r="E12" s="12" t="n">
        <v>215.0885992975308</v>
      </c>
      <c r="F12" s="12" t="n">
        <v>0</v>
      </c>
      <c r="G12" s="12" t="n">
        <v>637.7999999999894</v>
      </c>
    </row>
    <row r="13">
      <c r="A13" s="5" t="inlineStr">
        <is>
          <t>Сентябрь</t>
        </is>
      </c>
      <c r="B13" s="12" t="n">
        <v>0</v>
      </c>
      <c r="C13" s="12" t="n">
        <v>0</v>
      </c>
      <c r="D13" s="12" t="n"/>
      <c r="E13" s="12" t="n">
        <v>219.4369139950022</v>
      </c>
      <c r="F13" s="12" t="n">
        <v>0</v>
      </c>
      <c r="G13" s="12" t="n">
        <v>637.7999999999885</v>
      </c>
    </row>
    <row r="14">
      <c r="A14" s="5" t="inlineStr">
        <is>
          <t>Октябрь</t>
        </is>
      </c>
      <c r="B14" s="12" t="n">
        <v>0</v>
      </c>
      <c r="C14" s="12" t="n">
        <v>0</v>
      </c>
      <c r="D14" s="12" t="n"/>
      <c r="E14" s="12" t="n">
        <v>223.7634871189863</v>
      </c>
      <c r="F14" s="12" t="n">
        <v>0</v>
      </c>
      <c r="G14" s="12" t="n">
        <v>641.3565807932582</v>
      </c>
    </row>
    <row r="15">
      <c r="A15" s="5" t="inlineStr">
        <is>
          <t>Ноябрь</t>
        </is>
      </c>
      <c r="B15" s="12" t="n">
        <v>0</v>
      </c>
      <c r="C15" s="12" t="n">
        <v>0</v>
      </c>
      <c r="D15" s="12" t="n"/>
      <c r="E15" s="12" t="n">
        <v>228.0684273773504</v>
      </c>
      <c r="F15" s="12" t="n">
        <v>0</v>
      </c>
      <c r="G15" s="12" t="n">
        <v>670.0561825156869</v>
      </c>
    </row>
    <row r="16">
      <c r="A16" s="5" t="inlineStr">
        <is>
          <t>Декабрь</t>
        </is>
      </c>
      <c r="B16" s="12" t="n">
        <v>0</v>
      </c>
      <c r="C16" s="12" t="n">
        <v>0</v>
      </c>
      <c r="D16" s="12" t="n"/>
      <c r="E16" s="12" t="n">
        <v>232.3518429344227</v>
      </c>
      <c r="F16" s="12" t="n">
        <v>0</v>
      </c>
      <c r="G16" s="12" t="n">
        <v>698.6122862295036</v>
      </c>
    </row>
    <row r="17">
      <c r="A17" s="14" t="inlineStr">
        <is>
          <t>ИТОГО год</t>
        </is>
      </c>
      <c r="B17" s="16" t="n">
        <v>3606.283371241205</v>
      </c>
      <c r="C17" s="14" t="n"/>
      <c r="D17" s="16" t="n">
        <v>3189</v>
      </c>
      <c r="E17" s="16" t="n">
        <v>4978.265237470123</v>
      </c>
      <c r="F17" s="16" t="n">
        <v>3189</v>
      </c>
      <c r="G17" s="16" t="n">
        <v>7750.225049538408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Прогноз года по методам (выручка), ₽</t>
        </is>
      </c>
    </row>
    <row r="2">
      <c r="A2" s="2" t="inlineStr">
        <is>
          <t>Ансамбль (база) — взвешенное среднее: pacing 0.40 · YoY 0.25 · ETS 0.15 · регрессия 0.20</t>
        </is>
      </c>
    </row>
    <row r="4">
      <c r="A4" s="4" t="inlineStr">
        <is>
          <t>Метод</t>
        </is>
      </c>
      <c r="B4" s="4" t="inlineStr">
        <is>
          <t>Маркет</t>
        </is>
      </c>
      <c r="C4" s="4" t="inlineStr">
        <is>
          <t>ОФД</t>
        </is>
      </c>
    </row>
    <row r="5">
      <c r="A5" s="5" t="inlineStr">
        <is>
          <t>Plan-pacing</t>
        </is>
      </c>
      <c r="B5" s="6" t="n">
        <v>71423493.52320346</v>
      </c>
      <c r="C5" s="6" t="n">
        <v>22667647.0547853</v>
      </c>
    </row>
    <row r="6">
      <c r="A6" s="5" t="inlineStr">
        <is>
          <t>Сезонный YoY</t>
        </is>
      </c>
      <c r="B6" s="6" t="n">
        <v>58910724.97</v>
      </c>
      <c r="C6" s="6" t="n">
        <v>18908534.4</v>
      </c>
    </row>
    <row r="7">
      <c r="A7" s="5" t="inlineStr">
        <is>
          <t>ETS / Holt</t>
        </is>
      </c>
      <c r="B7" s="6" t="n">
        <v>143859401.3306556</v>
      </c>
      <c r="C7" s="6" t="n">
        <v>43199234.69200069</v>
      </c>
    </row>
    <row r="8">
      <c r="A8" s="5" t="inlineStr">
        <is>
          <t>Регрессия+сезон</t>
        </is>
      </c>
      <c r="B8" s="6" t="n">
        <v>141385739.9279986</v>
      </c>
      <c r="C8" s="6" t="n">
        <v>45380482.55999956</v>
      </c>
    </row>
    <row r="9">
      <c r="A9" s="17" t="inlineStr">
        <is>
          <t>АНСАМБЛЬ (база)</t>
        </is>
      </c>
      <c r="B9" s="15" t="n">
        <v>93153136.83697945</v>
      </c>
      <c r="C9" s="15" t="n">
        <v>29350174.13771413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Контекстная реклама: расход / оплаты / CPO / CPL</t>
        </is>
      </c>
    </row>
    <row r="2">
      <c r="A2" s="2" t="inlineStr">
        <is>
          <t>Источник: дашборды Контекст (распознано с экрана, суммы сверены с «Итого»). Выручка по целевым лидам — из data (15). Июнь 2026 — неполный.</t>
        </is>
      </c>
    </row>
    <row r="4">
      <c r="A4" s="4" t="inlineStr">
        <is>
          <t>Месяц</t>
        </is>
      </c>
      <c r="B4" s="4" t="inlineStr">
        <is>
          <t>Маркет расход</t>
        </is>
      </c>
      <c r="C4" s="4" t="inlineStr">
        <is>
          <t>Маркет опл.</t>
        </is>
      </c>
      <c r="D4" s="4" t="inlineStr">
        <is>
          <t>Маркет CPO</t>
        </is>
      </c>
      <c r="E4" s="4" t="inlineStr">
        <is>
          <t>Маркет CPL</t>
        </is>
      </c>
      <c r="F4" s="4" t="inlineStr">
        <is>
          <t>Маркет выр.лиды</t>
        </is>
      </c>
      <c r="G4" s="4" t="inlineStr">
        <is>
          <t>ОФД расход</t>
        </is>
      </c>
      <c r="H4" s="4" t="inlineStr">
        <is>
          <t>ОФД опл.</t>
        </is>
      </c>
      <c r="I4" s="4" t="inlineStr">
        <is>
          <t>ОФД CPO</t>
        </is>
      </c>
      <c r="J4" s="4" t="inlineStr">
        <is>
          <t>ОФД CPL</t>
        </is>
      </c>
      <c r="K4" s="4" t="inlineStr">
        <is>
          <t>ОФД выр.лиды</t>
        </is>
      </c>
    </row>
    <row r="5">
      <c r="A5" s="5" t="inlineStr">
        <is>
          <t>янв 2025</t>
        </is>
      </c>
      <c r="B5" s="6" t="n">
        <v>1426675</v>
      </c>
      <c r="C5" s="5" t="n">
        <v>11</v>
      </c>
      <c r="D5" s="6" t="n">
        <v>129698</v>
      </c>
      <c r="E5" s="6" t="n">
        <v>16212</v>
      </c>
      <c r="F5" s="6" t="n">
        <v>0</v>
      </c>
      <c r="G5" s="6" t="n">
        <v>349519</v>
      </c>
      <c r="H5" s="5" t="n">
        <v>40</v>
      </c>
      <c r="I5" s="6" t="n">
        <v>8738</v>
      </c>
      <c r="J5" s="6" t="n">
        <v>2608</v>
      </c>
      <c r="K5" s="6" t="n">
        <v>0</v>
      </c>
    </row>
    <row r="6">
      <c r="A6" s="5" t="inlineStr">
        <is>
          <t>фев 2025</t>
        </is>
      </c>
      <c r="B6" s="6" t="n">
        <v>1458662</v>
      </c>
      <c r="C6" s="5" t="n">
        <v>17</v>
      </c>
      <c r="D6" s="6" t="n">
        <v>85804</v>
      </c>
      <c r="E6" s="6" t="n">
        <v>14301</v>
      </c>
      <c r="F6" s="6" t="n">
        <v>0</v>
      </c>
      <c r="G6" s="6" t="n">
        <v>417835</v>
      </c>
      <c r="H6" s="5" t="n">
        <v>35</v>
      </c>
      <c r="I6" s="6" t="n">
        <v>11938</v>
      </c>
      <c r="J6" s="6" t="n">
        <v>4096</v>
      </c>
      <c r="K6" s="6" t="n">
        <v>0</v>
      </c>
    </row>
    <row r="7">
      <c r="A7" s="5" t="inlineStr">
        <is>
          <t>мар 2025</t>
        </is>
      </c>
      <c r="B7" s="6" t="n">
        <v>1291864</v>
      </c>
      <c r="C7" s="5" t="n">
        <v>14</v>
      </c>
      <c r="D7" s="6" t="n">
        <v>92276</v>
      </c>
      <c r="E7" s="6" t="n">
        <v>14680</v>
      </c>
      <c r="F7" s="6" t="n">
        <v>0</v>
      </c>
      <c r="G7" s="6" t="n">
        <v>457771</v>
      </c>
      <c r="H7" s="5" t="n">
        <v>20</v>
      </c>
      <c r="I7" s="6" t="n">
        <v>22889</v>
      </c>
      <c r="J7" s="6" t="n">
        <v>4976</v>
      </c>
      <c r="K7" s="6" t="n">
        <v>0</v>
      </c>
    </row>
    <row r="8">
      <c r="A8" s="5" t="inlineStr">
        <is>
          <t>апр 2025</t>
        </is>
      </c>
      <c r="B8" s="6" t="n">
        <v>1653242</v>
      </c>
      <c r="C8" s="5" t="n">
        <v>31</v>
      </c>
      <c r="D8" s="6" t="n">
        <v>53330</v>
      </c>
      <c r="E8" s="6" t="n">
        <v>13018</v>
      </c>
      <c r="F8" s="6" t="n">
        <v>0</v>
      </c>
      <c r="G8" s="6" t="n">
        <v>586537</v>
      </c>
      <c r="H8" s="5" t="n">
        <v>17</v>
      </c>
      <c r="I8" s="6" t="n">
        <v>34502</v>
      </c>
      <c r="J8" s="6" t="n">
        <v>8626</v>
      </c>
      <c r="K8" s="6" t="n">
        <v>0</v>
      </c>
    </row>
    <row r="9">
      <c r="A9" s="5" t="inlineStr">
        <is>
          <t>май 2025</t>
        </is>
      </c>
      <c r="B9" s="6" t="n">
        <v>1140537</v>
      </c>
      <c r="C9" s="5" t="n">
        <v>24</v>
      </c>
      <c r="D9" s="6" t="n">
        <v>47522</v>
      </c>
      <c r="E9" s="6" t="n">
        <v>9666</v>
      </c>
      <c r="F9" s="6" t="n">
        <v>0</v>
      </c>
      <c r="G9" s="6" t="n">
        <v>524111</v>
      </c>
      <c r="H9" s="5" t="n">
        <v>11</v>
      </c>
      <c r="I9" s="6" t="n">
        <v>47646</v>
      </c>
      <c r="J9" s="6" t="n">
        <v>10079</v>
      </c>
      <c r="K9" s="6" t="n">
        <v>0</v>
      </c>
    </row>
    <row r="10">
      <c r="A10" s="5" t="inlineStr">
        <is>
          <t>июн 2025</t>
        </is>
      </c>
      <c r="B10" s="6" t="n">
        <v>892872</v>
      </c>
      <c r="C10" s="5" t="n">
        <v>26</v>
      </c>
      <c r="D10" s="6" t="n">
        <v>34341</v>
      </c>
      <c r="E10" s="6" t="n">
        <v>8504</v>
      </c>
      <c r="F10" s="6" t="n">
        <v>0</v>
      </c>
      <c r="G10" s="6" t="n">
        <v>426952</v>
      </c>
      <c r="H10" s="5" t="n">
        <v>8</v>
      </c>
      <c r="I10" s="6" t="n">
        <v>53369</v>
      </c>
      <c r="J10" s="6" t="n">
        <v>9282</v>
      </c>
      <c r="K10" s="6" t="n">
        <v>0</v>
      </c>
    </row>
    <row r="11">
      <c r="A11" s="5" t="inlineStr">
        <is>
          <t>июл 2025</t>
        </is>
      </c>
      <c r="B11" s="6" t="n">
        <v>679389</v>
      </c>
      <c r="C11" s="5" t="n">
        <v>20</v>
      </c>
      <c r="D11" s="6" t="n">
        <v>33969</v>
      </c>
      <c r="E11" s="6" t="n">
        <v>6596</v>
      </c>
      <c r="F11" s="6" t="n">
        <v>0</v>
      </c>
      <c r="G11" s="6" t="n">
        <v>356743</v>
      </c>
      <c r="H11" s="5" t="n">
        <v>24</v>
      </c>
      <c r="I11" s="6" t="n">
        <v>14864</v>
      </c>
      <c r="J11" s="6" t="n">
        <v>4694</v>
      </c>
      <c r="K11" s="6" t="n">
        <v>0</v>
      </c>
    </row>
    <row r="12">
      <c r="A12" s="5" t="inlineStr">
        <is>
          <t>авг 2025</t>
        </is>
      </c>
      <c r="B12" s="6" t="n">
        <v>468224</v>
      </c>
      <c r="C12" s="5" t="n">
        <v>16</v>
      </c>
      <c r="D12" s="6" t="n">
        <v>29264</v>
      </c>
      <c r="E12" s="6" t="n">
        <v>8361</v>
      </c>
      <c r="F12" s="6" t="n">
        <v>0</v>
      </c>
      <c r="G12" s="6" t="n">
        <v>367080</v>
      </c>
      <c r="H12" s="5" t="n">
        <v>19</v>
      </c>
      <c r="I12" s="6" t="n">
        <v>19320</v>
      </c>
      <c r="J12" s="6" t="n">
        <v>4706</v>
      </c>
      <c r="K12" s="6" t="n">
        <v>0</v>
      </c>
    </row>
    <row r="13">
      <c r="A13" s="5" t="inlineStr">
        <is>
          <t>сен 2025</t>
        </is>
      </c>
      <c r="B13" s="6" t="n">
        <v>624524</v>
      </c>
      <c r="C13" s="5" t="n">
        <v>20</v>
      </c>
      <c r="D13" s="6" t="n">
        <v>31226</v>
      </c>
      <c r="E13" s="6" t="n">
        <v>8217</v>
      </c>
      <c r="F13" s="6" t="n">
        <v>0</v>
      </c>
      <c r="G13" s="6" t="n">
        <v>405867</v>
      </c>
      <c r="H13" s="5" t="n">
        <v>20</v>
      </c>
      <c r="I13" s="6" t="n">
        <v>20293</v>
      </c>
      <c r="J13" s="6" t="n">
        <v>4560</v>
      </c>
      <c r="K13" s="6" t="n">
        <v>0</v>
      </c>
    </row>
    <row r="14">
      <c r="A14" s="5" t="inlineStr">
        <is>
          <t>окт 2025</t>
        </is>
      </c>
      <c r="B14" s="6" t="n">
        <v>827573</v>
      </c>
      <c r="C14" s="5" t="n">
        <v>18</v>
      </c>
      <c r="D14" s="6" t="n">
        <v>45976</v>
      </c>
      <c r="E14" s="6" t="n">
        <v>11034</v>
      </c>
      <c r="F14" s="6" t="n">
        <v>0</v>
      </c>
      <c r="G14" s="6" t="n">
        <v>460200</v>
      </c>
      <c r="H14" s="5" t="n">
        <v>21</v>
      </c>
      <c r="I14" s="6" t="n">
        <v>21914</v>
      </c>
      <c r="J14" s="6" t="n">
        <v>5171</v>
      </c>
      <c r="K14" s="6" t="n">
        <v>0</v>
      </c>
    </row>
    <row r="15">
      <c r="A15" s="5" t="inlineStr">
        <is>
          <t>ноя 2025</t>
        </is>
      </c>
      <c r="B15" s="6" t="n">
        <v>751818</v>
      </c>
      <c r="C15" s="5" t="n">
        <v>11</v>
      </c>
      <c r="D15" s="6" t="n">
        <v>68347</v>
      </c>
      <c r="E15" s="6" t="n">
        <v>11221</v>
      </c>
      <c r="F15" s="6" t="n">
        <v>0</v>
      </c>
      <c r="G15" s="6" t="n">
        <v>432649</v>
      </c>
      <c r="H15" s="5" t="n">
        <v>23</v>
      </c>
      <c r="I15" s="6" t="n">
        <v>18811</v>
      </c>
      <c r="J15" s="6" t="n">
        <v>4973</v>
      </c>
      <c r="K15" s="6" t="n">
        <v>0</v>
      </c>
    </row>
    <row r="16">
      <c r="A16" s="5" t="inlineStr">
        <is>
          <t>дек 2025</t>
        </is>
      </c>
      <c r="B16" s="6" t="n">
        <v>637877</v>
      </c>
      <c r="C16" s="5" t="n">
        <v>16</v>
      </c>
      <c r="D16" s="6" t="n">
        <v>39867</v>
      </c>
      <c r="E16" s="6" t="n">
        <v>9665</v>
      </c>
      <c r="F16" s="6" t="n">
        <v>0</v>
      </c>
      <c r="G16" s="6" t="n">
        <v>386677</v>
      </c>
      <c r="H16" s="5" t="n">
        <v>30</v>
      </c>
      <c r="I16" s="6" t="n">
        <v>12889</v>
      </c>
      <c r="J16" s="6" t="n">
        <v>3906</v>
      </c>
      <c r="K16" s="6" t="n">
        <v>0</v>
      </c>
    </row>
    <row r="17">
      <c r="A17" s="5" t="inlineStr">
        <is>
          <t>янв 2026</t>
        </is>
      </c>
      <c r="B17" s="6" t="n">
        <v>566120</v>
      </c>
      <c r="C17" s="5" t="n">
        <v>23</v>
      </c>
      <c r="D17" s="6" t="n">
        <v>24614</v>
      </c>
      <c r="E17" s="6" t="n">
        <v>7650</v>
      </c>
      <c r="F17" s="6" t="n">
        <v>0</v>
      </c>
      <c r="G17" s="6" t="n">
        <v>415847</v>
      </c>
      <c r="H17" s="5" t="n">
        <v>32</v>
      </c>
      <c r="I17" s="6" t="n">
        <v>12995</v>
      </c>
      <c r="J17" s="6" t="n">
        <v>3465</v>
      </c>
      <c r="K17" s="6" t="n">
        <v>0</v>
      </c>
    </row>
    <row r="18">
      <c r="A18" s="5" t="inlineStr">
        <is>
          <t>фев 2026</t>
        </is>
      </c>
      <c r="B18" s="6" t="n">
        <v>562249</v>
      </c>
      <c r="C18" s="5" t="n">
        <v>15</v>
      </c>
      <c r="D18" s="6" t="n">
        <v>37483</v>
      </c>
      <c r="E18" s="6" t="n">
        <v>9694</v>
      </c>
      <c r="F18" s="6" t="n">
        <v>0</v>
      </c>
      <c r="G18" s="6" t="n">
        <v>386770</v>
      </c>
      <c r="H18" s="5" t="n">
        <v>29</v>
      </c>
      <c r="I18" s="6" t="n">
        <v>13337</v>
      </c>
      <c r="J18" s="6" t="n">
        <v>3484</v>
      </c>
      <c r="K18" s="6" t="n">
        <v>0</v>
      </c>
    </row>
    <row r="19">
      <c r="A19" s="5" t="inlineStr">
        <is>
          <t>мар 2026</t>
        </is>
      </c>
      <c r="B19" s="6" t="n">
        <v>704396</v>
      </c>
      <c r="C19" s="5" t="n">
        <v>15</v>
      </c>
      <c r="D19" s="6" t="n">
        <v>46960</v>
      </c>
      <c r="E19" s="6" t="n">
        <v>10513</v>
      </c>
      <c r="F19" s="6" t="n">
        <v>0</v>
      </c>
      <c r="G19" s="6" t="n">
        <v>423647</v>
      </c>
      <c r="H19" s="5" t="n">
        <v>25</v>
      </c>
      <c r="I19" s="6" t="n">
        <v>16946</v>
      </c>
      <c r="J19" s="6" t="n">
        <v>3560</v>
      </c>
      <c r="K19" s="6" t="n">
        <v>0</v>
      </c>
    </row>
    <row r="20">
      <c r="A20" s="5" t="inlineStr">
        <is>
          <t>апр 2026</t>
        </is>
      </c>
      <c r="B20" s="6" t="n">
        <v>449859</v>
      </c>
      <c r="C20" s="5" t="n">
        <v>17</v>
      </c>
      <c r="D20" s="6" t="n">
        <v>26462</v>
      </c>
      <c r="E20" s="6" t="n">
        <v>5998</v>
      </c>
      <c r="F20" s="6" t="n">
        <v>0</v>
      </c>
      <c r="G20" s="6" t="n">
        <v>390294</v>
      </c>
      <c r="H20" s="5" t="n">
        <v>21</v>
      </c>
      <c r="I20" s="6" t="n">
        <v>18585</v>
      </c>
      <c r="J20" s="6" t="n">
        <v>3199</v>
      </c>
      <c r="K20" s="6" t="n">
        <v>0</v>
      </c>
    </row>
    <row r="21">
      <c r="A21" s="5" t="inlineStr">
        <is>
          <t>май 2026</t>
        </is>
      </c>
      <c r="B21" s="6" t="n">
        <v>467277</v>
      </c>
      <c r="C21" s="5" t="n">
        <v>20</v>
      </c>
      <c r="D21" s="6" t="n">
        <v>23364</v>
      </c>
      <c r="E21" s="6" t="n">
        <v>4537</v>
      </c>
      <c r="F21" s="6" t="n">
        <v>0</v>
      </c>
      <c r="G21" s="6" t="n">
        <v>262720</v>
      </c>
      <c r="H21" s="5" t="n">
        <v>18</v>
      </c>
      <c r="I21" s="6" t="n">
        <v>14596</v>
      </c>
      <c r="J21" s="6" t="n">
        <v>4042</v>
      </c>
      <c r="K21" s="6" t="n">
        <v>0</v>
      </c>
    </row>
    <row r="22">
      <c r="A22" s="5" t="inlineStr">
        <is>
          <t>июн 2026</t>
        </is>
      </c>
      <c r="B22" s="6" t="n">
        <v>129019</v>
      </c>
      <c r="C22" s="5" t="n">
        <v>1</v>
      </c>
      <c r="D22" s="6" t="n">
        <v>129019</v>
      </c>
      <c r="E22" s="6" t="n">
        <v>4608</v>
      </c>
      <c r="F22" s="6" t="n">
        <v>0</v>
      </c>
      <c r="G22" s="6" t="n">
        <v>52264</v>
      </c>
      <c r="H22" s="5" t="n">
        <v>4</v>
      </c>
      <c r="I22" s="6" t="n">
        <v>13066</v>
      </c>
      <c r="J22" s="6" t="n">
        <v>1936</v>
      </c>
      <c r="K22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Методология прогноза 2026 — Маркет и ОФД</t>
        </is>
      </c>
    </row>
    <row r="2">
      <c r="A2" s="19" t="inlineStr"/>
    </row>
    <row r="3">
      <c r="A3" s="20" t="inlineStr">
        <is>
          <t>1. ИСТОЧНИКИ ДАННЫХ</t>
        </is>
      </c>
    </row>
    <row r="4">
      <c r="A4" s="19" t="inlineStr">
        <is>
          <t>• Царь свод все разрезы.xlsx — помесячный план и факт по проектам.</t>
        </is>
      </c>
    </row>
    <row r="5">
      <c r="A5" s="19" t="inlineStr">
        <is>
          <t xml:space="preserve">    Маркет = проекты п470 + п47101; ОФД = проект п453 (п45302 — техника/ФН/услуги внедрения — исключён).</t>
        </is>
      </c>
    </row>
    <row r="6">
      <c r="A6" s="19" t="inlineStr">
        <is>
          <t>• data (15).xlsx — рекламный факт (целевые лиды по продукту): выручка и оплаты по месяцам.</t>
        </is>
      </c>
    </row>
    <row r="7">
      <c r="A7" s="19" t="inlineStr">
        <is>
          <t>• Дашборды Контекст (PNG) — расход, оплаты, CPL по месяцам (распознано с экрана, суммы сверены с «Итого»).</t>
        </is>
      </c>
    </row>
    <row r="8">
      <c r="A8" s="19" t="inlineStr"/>
    </row>
    <row r="9">
      <c r="A9" s="20" t="inlineStr">
        <is>
          <t>2. ГОРИЗОНТ И ОБУЧАЮЩАЯ ВЫБОРКА</t>
        </is>
      </c>
    </row>
    <row r="10">
      <c r="A10" s="19" t="inlineStr">
        <is>
          <t>• Факт известен по Май 2026 включительно (YTD). Прогнозируются оставшиеся месяцы до декабря 2026.</t>
        </is>
      </c>
    </row>
    <row r="11">
      <c r="A11" s="19" t="inlineStr">
        <is>
          <t>• Обучающий ряд: янв 2025 – последний завершённый месяц 2026 (~17 точек). Июнь 2026 неполный — в обучение не берётся.</t>
        </is>
      </c>
    </row>
    <row r="12">
      <c r="A12" s="19" t="inlineStr"/>
    </row>
    <row r="13">
      <c r="A13" s="20" t="inlineStr">
        <is>
          <t>3. МОДЕЛИ (считаются независимо, затем ансамбль)</t>
        </is>
      </c>
    </row>
    <row r="14">
      <c r="A14" s="19" t="inlineStr">
        <is>
          <t>• Plan-pacing: оставшийся месяц = план месяца × (факт YTD ÷ план YTD).</t>
        </is>
      </c>
    </row>
    <row r="15">
      <c r="A15" s="19" t="inlineStr">
        <is>
          <t xml:space="preserve">    Самый бизнес-обоснованный — план уже содержит сезонность, а текущий темп выполнения переносится на остаток.</t>
        </is>
      </c>
    </row>
    <row r="16">
      <c r="A16" s="19" t="inlineStr">
        <is>
          <t>• Сезонный YoY: оставшийся месяц = факт того же месяца 2025 × (1 + g), g — прирост YTD-2026 к тому же периоду 2025.</t>
        </is>
      </c>
    </row>
    <row r="17">
      <c r="A17" s="19" t="inlineStr">
        <is>
          <t>• ETS / Holt (statsmodels ExponentialSmoothing): аддитивный демпфированный тренд; сезонность period=12, если ≥24 точек.</t>
        </is>
      </c>
    </row>
    <row r="18">
      <c r="A18" s="19" t="inlineStr">
        <is>
          <t>• Регрессия + сезонные дамми (scikit-learn LinearRegression): линейный тренд по времени + 11 месячных индикаторов.</t>
        </is>
      </c>
    </row>
    <row r="19">
      <c r="A19" s="19" t="inlineStr"/>
    </row>
    <row r="20">
      <c r="A20" s="20" t="inlineStr">
        <is>
          <t>4. АНСАМБЛЬ И СЦЕНАРИИ</t>
        </is>
      </c>
    </row>
    <row r="21">
      <c r="A21" s="19" t="inlineStr">
        <is>
          <t>• База = взвешенное среднее доступных методов: plan-pacing 0.40, сезонный YoY 0.25, ETS 0.15, регрессия 0.20.</t>
        </is>
      </c>
    </row>
    <row r="22">
      <c r="A22" s="19" t="inlineStr">
        <is>
          <t>• Коридор: НИЗ = минимум по методам в каждом месяце, ВЕРХ = максимум. Сумма за год даёт сценарии низ/база/верх.</t>
        </is>
      </c>
    </row>
    <row r="23">
      <c r="A23" s="19" t="inlineStr">
        <is>
          <t>• Отрицательные прогнозы обнуляются.</t>
        </is>
      </c>
    </row>
    <row r="24">
      <c r="A24" s="19" t="inlineStr"/>
    </row>
    <row r="25">
      <c r="A25" s="20" t="inlineStr">
        <is>
          <t>5. ВЫПОЛНЕНИЕ ПЛАНА</t>
        </is>
      </c>
    </row>
    <row r="26">
      <c r="A26" s="19" t="inlineStr">
        <is>
          <t>• Прогноз года = факт YTD + Σ прогноза остатка. Выполнение плана = прогноз года ÷ годовой план × 100%.</t>
        </is>
      </c>
    </row>
    <row r="27">
      <c r="A27" s="19" t="inlineStr">
        <is>
          <t>• Вывод: ≥100% — план будет выполнен; 95–100% — на грани; 85–95% — недовыполнение; &lt;85% — существенный недобор.</t>
        </is>
      </c>
    </row>
    <row r="28">
      <c r="A28" s="19" t="inlineStr"/>
    </row>
    <row r="29">
      <c r="A29" s="20" t="inlineStr">
        <is>
          <t>6. ОГРАНИЧЕНИЯ</t>
        </is>
      </c>
    </row>
    <row r="30">
      <c r="A30" s="19" t="inlineStr">
        <is>
          <t>• Короткий ряд (~1.5 года) — сезонные модели работают на пределе; ставка сделана на plan-pacing и YoY.</t>
        </is>
      </c>
    </row>
    <row r="31">
      <c r="A31" s="19" t="inlineStr">
        <is>
          <t>• Рекламные расход/CPL сняты с дашбордов распознаванием — возможны мелкие неточности (итоги сверены).</t>
        </is>
      </c>
    </row>
    <row r="32">
      <c r="A32" s="19" t="inlineStr">
        <is>
          <t>• Прогноз не учитывает разовые акции, изменения цен и план-факт корректировки после даты выгрузки.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Входные помесячные ряды (план/факт по проектам), ₽</t>
        </is>
      </c>
    </row>
    <row r="3">
      <c r="A3" s="4" t="inlineStr">
        <is>
          <t>Продукт</t>
        </is>
      </c>
      <c r="B3" s="4" t="inlineStr">
        <is>
          <t>Показатель</t>
        </is>
      </c>
      <c r="C3" s="4" t="inlineStr">
        <is>
          <t>Год</t>
        </is>
      </c>
      <c r="D3" s="4" t="inlineStr">
        <is>
          <t>янв</t>
        </is>
      </c>
      <c r="E3" s="4" t="inlineStr">
        <is>
          <t>фев</t>
        </is>
      </c>
      <c r="F3" s="4" t="inlineStr">
        <is>
          <t>мар</t>
        </is>
      </c>
      <c r="G3" s="4" t="inlineStr">
        <is>
          <t>апр</t>
        </is>
      </c>
      <c r="H3" s="4" t="inlineStr">
        <is>
          <t>май</t>
        </is>
      </c>
      <c r="I3" s="4" t="inlineStr">
        <is>
          <t>июн</t>
        </is>
      </c>
      <c r="J3" s="4" t="inlineStr">
        <is>
          <t>июл</t>
        </is>
      </c>
      <c r="K3" s="4" t="inlineStr">
        <is>
          <t>авг</t>
        </is>
      </c>
      <c r="L3" s="4" t="inlineStr">
        <is>
          <t>сен</t>
        </is>
      </c>
      <c r="M3" s="4" t="inlineStr">
        <is>
          <t>окт</t>
        </is>
      </c>
      <c r="N3" s="4" t="inlineStr">
        <is>
          <t>ноя</t>
        </is>
      </c>
      <c r="O3" s="4" t="inlineStr">
        <is>
          <t>дек</t>
        </is>
      </c>
    </row>
    <row r="4">
      <c r="A4" t="inlineStr">
        <is>
          <t>Маркет</t>
        </is>
      </c>
      <c r="B4" t="inlineStr">
        <is>
          <t>План 2026</t>
        </is>
      </c>
      <c r="C4" t="n">
        <v>2026</v>
      </c>
      <c r="D4" s="21" t="n">
        <v>11976465</v>
      </c>
      <c r="E4" s="21" t="n">
        <v>11920770</v>
      </c>
      <c r="F4" s="21" t="n">
        <v>13959080</v>
      </c>
      <c r="G4" s="21" t="n">
        <v>13111598</v>
      </c>
      <c r="H4" s="21" t="n">
        <v>10874709</v>
      </c>
      <c r="I4" s="21" t="n">
        <v>13135510</v>
      </c>
      <c r="J4" s="21" t="n">
        <v>0</v>
      </c>
      <c r="K4" s="21" t="n">
        <v>0</v>
      </c>
      <c r="L4" s="21" t="n">
        <v>0</v>
      </c>
      <c r="M4" s="21" t="n">
        <v>0</v>
      </c>
      <c r="N4" s="21" t="n">
        <v>0</v>
      </c>
      <c r="O4" s="21" t="n">
        <v>0</v>
      </c>
    </row>
    <row r="5">
      <c r="A5" t="inlineStr">
        <is>
          <t>Маркет</t>
        </is>
      </c>
      <c r="B5" t="inlineStr">
        <is>
          <t>Факт 2025</t>
        </is>
      </c>
      <c r="C5" t="n">
        <v>2025</v>
      </c>
      <c r="D5" s="21" t="n">
        <v>0</v>
      </c>
      <c r="E5" s="21" t="n">
        <v>0</v>
      </c>
      <c r="F5" s="21" t="n">
        <v>0</v>
      </c>
      <c r="G5" s="21" t="n">
        <v>0</v>
      </c>
      <c r="H5" s="21" t="n">
        <v>0</v>
      </c>
      <c r="I5" s="21" t="n">
        <v>0</v>
      </c>
      <c r="J5" s="21" t="n">
        <v>0</v>
      </c>
      <c r="K5" s="21" t="n">
        <v>0</v>
      </c>
      <c r="L5" s="21" t="n">
        <v>0</v>
      </c>
      <c r="M5" s="21" t="n">
        <v>0</v>
      </c>
      <c r="N5" s="21" t="n">
        <v>0</v>
      </c>
      <c r="O5" s="21" t="n">
        <v>0</v>
      </c>
    </row>
    <row r="6">
      <c r="A6" t="inlineStr">
        <is>
          <t>Маркет</t>
        </is>
      </c>
      <c r="B6" t="inlineStr">
        <is>
          <t>Факт 2026</t>
        </is>
      </c>
      <c r="C6" t="n">
        <v>2026</v>
      </c>
      <c r="D6" s="21" t="n">
        <v>11172387</v>
      </c>
      <c r="E6" s="21" t="n">
        <v>13264451</v>
      </c>
      <c r="F6" s="21" t="n">
        <v>13054626</v>
      </c>
      <c r="G6" s="21" t="n">
        <v>11472181</v>
      </c>
      <c r="H6" s="21" t="n">
        <v>9947080</v>
      </c>
      <c r="I6" s="21" t="n">
        <v>3438100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1" t="n">
        <v>0</v>
      </c>
    </row>
    <row r="7">
      <c r="A7" t="inlineStr">
        <is>
          <t>ОФД</t>
        </is>
      </c>
      <c r="B7" t="inlineStr">
        <is>
          <t>План 2026</t>
        </is>
      </c>
      <c r="C7" t="n">
        <v>2026</v>
      </c>
      <c r="D7" s="21" t="n">
        <v>2810130</v>
      </c>
      <c r="E7" s="21" t="n">
        <v>3106809</v>
      </c>
      <c r="F7" s="21" t="n">
        <v>3178600</v>
      </c>
      <c r="G7" s="21" t="n">
        <v>3241747</v>
      </c>
      <c r="H7" s="21" t="n">
        <v>2968801</v>
      </c>
      <c r="I7" s="21" t="n">
        <v>3042928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1" t="n">
        <v>0</v>
      </c>
    </row>
    <row r="8">
      <c r="A8" t="inlineStr">
        <is>
          <t>ОФД</t>
        </is>
      </c>
      <c r="B8" t="inlineStr">
        <is>
          <t>Факт 2025</t>
        </is>
      </c>
      <c r="C8" t="n">
        <v>2025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</row>
    <row r="9">
      <c r="A9" t="inlineStr">
        <is>
          <t>ОФД</t>
        </is>
      </c>
      <c r="B9" t="inlineStr">
        <is>
          <t>Факт 2026</t>
        </is>
      </c>
      <c r="C9" t="n">
        <v>2026</v>
      </c>
      <c r="D9" s="21" t="n">
        <v>4051268</v>
      </c>
      <c r="E9" s="21" t="n">
        <v>4117291</v>
      </c>
      <c r="F9" s="21" t="n">
        <v>4177257</v>
      </c>
      <c r="G9" s="21" t="n">
        <v>3708388</v>
      </c>
      <c r="H9" s="21" t="n">
        <v>2854330</v>
      </c>
      <c r="I9" s="21" t="n">
        <v>885212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2026-06-15T06:21:34Z</dcterms:created>
  <dcterms:modified xsi:type="dcterms:W3CDTF">2026-06-15T06:21:34Z</dcterms:modified>
</cp:coreProperties>
</file>